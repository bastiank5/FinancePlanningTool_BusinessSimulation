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FinancePlanningTool_BusinessSimulation\"/>
    </mc:Choice>
  </mc:AlternateContent>
  <xr:revisionPtr revIDLastSave="0" documentId="13_ncr:1_{E0260A73-BE77-4A78-B400-87855D76B60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OPSIM Plan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7" i="1"/>
  <c r="B56" i="1"/>
  <c r="B51" i="1"/>
  <c r="B50" i="1"/>
  <c r="B49" i="1"/>
  <c r="B34" i="1"/>
  <c r="B18" i="1"/>
  <c r="B52" i="1" s="1"/>
  <c r="B5" i="1"/>
  <c r="B43" i="1" s="1"/>
  <c r="B46" i="1" s="1"/>
  <c r="B13" i="1" l="1"/>
  <c r="B19" i="1" s="1"/>
  <c r="B21" i="1" l="1"/>
  <c r="B23" i="1" s="1"/>
  <c r="B53" i="1" s="1"/>
  <c r="B57" i="1" s="1"/>
  <c r="B59" i="1" s="1"/>
  <c r="B61" i="1" s="1"/>
  <c r="B24" i="1" l="1"/>
  <c r="B33" i="1" s="1"/>
  <c r="B36" i="1" s="1"/>
  <c r="B39" i="1" s="1"/>
  <c r="B29" i="1" l="1"/>
  <c r="B30" i="1" s="1"/>
</calcChain>
</file>

<file path=xl/sharedStrings.xml><?xml version="1.0" encoding="utf-8"?>
<sst xmlns="http://schemas.openxmlformats.org/spreadsheetml/2006/main" count="59" uniqueCount="59">
  <si>
    <t>Position</t>
  </si>
  <si>
    <t>1. PLAN-GEWINN- UND VERLUSTRECHNUNG</t>
  </si>
  <si>
    <t>Geplante Absatzmenge (Stück)</t>
  </si>
  <si>
    <t>Geplanter Preis (EUR/Stück)</t>
  </si>
  <si>
    <t>Umsatzerlöse (MEUR)</t>
  </si>
  <si>
    <t>Geplante Herstellkosten (Material &amp; Fertigung) (MEUR)</t>
  </si>
  <si>
    <t>Geplante F&amp;E-Kosten (MEUR)</t>
  </si>
  <si>
    <t>Geplante Verwaltungskosten (MEUR)</t>
  </si>
  <si>
    <t>Geplante Marketing- &amp; Vertriebskosten (MEUR)</t>
  </si>
  <si>
    <t>Abschreibungen Anlagen Alt (MEUR)</t>
  </si>
  <si>
    <t>Abschreibungen Gebäude (MEUR)</t>
  </si>
  <si>
    <t>Abschreibungen Anlage Neu (MEUR)</t>
  </si>
  <si>
    <t>PLAN-EBIT (MEUR)</t>
  </si>
  <si>
    <t>Zinssatz Langfristig (ZL) in %</t>
  </si>
  <si>
    <t>Zinssatz Kurzfristig (ZK) in %</t>
  </si>
  <si>
    <t>Langfristige Kredite Bestand (Alt + Neu) (MEUR)</t>
  </si>
  <si>
    <t>Kurzfristige Kredite Bestand (MEUR)</t>
  </si>
  <si>
    <t>Plan-Zinsaufwand (MEUR)</t>
  </si>
  <si>
    <t>PLAN-EBT (Ergebnis vor Steuern) (MEUR)</t>
  </si>
  <si>
    <t>Verlustvortrag aus Vorperioden (MEUR)</t>
  </si>
  <si>
    <t>Steuerpflichtiges Ergebnis (MEUR)</t>
  </si>
  <si>
    <t>Steuersatz in %</t>
  </si>
  <si>
    <t>Geplante Ertragssteuern (MEUR)</t>
  </si>
  <si>
    <t>PLAN-JAHRESÜBERSCHUSS (P-JÜ) (MEUR)</t>
  </si>
  <si>
    <t>2. PLAN-EIGENKAPITAL &amp; EKR</t>
  </si>
  <si>
    <t>Eigenkapital Vorperiode (MEUR)</t>
  </si>
  <si>
    <t>Beschlossene Dividende (MEUR)</t>
  </si>
  <si>
    <t>Plan-Eigenkapital Ende Periode (MEUR)</t>
  </si>
  <si>
    <t>GEPLANTE EIGENKAPITALRENDITE (EKR) in %</t>
  </si>
  <si>
    <t>3. OPERATIVER CASHFLOW</t>
  </si>
  <si>
    <t>Plan-Jahresüberschuss (MEUR)</t>
  </si>
  <si>
    <t>Zuzüglich Gesamtabschreibungen (MEUR)</t>
  </si>
  <si>
    <t>Veränderung langfr. Rückstellungen (MEUR)</t>
  </si>
  <si>
    <t>Traditioneller Cashflow (MEUR)</t>
  </si>
  <si>
    <t>Veränderung Forderungen (Working Capital) (MEUR)</t>
  </si>
  <si>
    <t>Veränderung Vorräte (Working Capital) (MEUR)</t>
  </si>
  <si>
    <t>GEPLANTER OPERATIVER CASHFLOW (MEUR)</t>
  </si>
  <si>
    <t>4. LIQUIDITÄTSPLANUNG</t>
  </si>
  <si>
    <t>EINZAHLUNGEN</t>
  </si>
  <si>
    <t>Einzahlung aus Umsatz laufende Periode</t>
  </si>
  <si>
    <t>Einzahlung aus Umsatz Vorperiode</t>
  </si>
  <si>
    <t>Kreditaufnahme</t>
  </si>
  <si>
    <t>SUMME DER EINZAHLUNGEN</t>
  </si>
  <si>
    <t>AUSZAHLUNGEN</t>
  </si>
  <si>
    <t>Auszahlung für Material &amp; Fertigung</t>
  </si>
  <si>
    <t>Auszahlungen für F&amp;E</t>
  </si>
  <si>
    <t>Auszahlungen für Verwaltung und Vertrieb</t>
  </si>
  <si>
    <t>Zinszahlungen</t>
  </si>
  <si>
    <t>Steuern</t>
  </si>
  <si>
    <t>Investitionen</t>
  </si>
  <si>
    <t>Kredittilgung</t>
  </si>
  <si>
    <t>Dividendenzahlung</t>
  </si>
  <si>
    <t>SUMME DER AUSZAHLUNGEN</t>
  </si>
  <si>
    <t>Zahlungsmittelüberschuss/-fehlbetrag</t>
  </si>
  <si>
    <t>Zahlungsmittelanfangsbestand</t>
  </si>
  <si>
    <t>ZAHLUNGSMITTELENDBESTAND</t>
  </si>
  <si>
    <t xml:space="preserve">Szenario 1 </t>
  </si>
  <si>
    <t>25,8-27,09</t>
  </si>
  <si>
    <t>(7,91-7,15)+0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</si>
</sst>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3" fillId="3" borderId="0" xfId="2"/>
    <xf numFmtId="0" fontId="3" fillId="6" borderId="0" xfId="5" applyAlignment="1">
      <alignment horizontal="center"/>
    </xf>
    <xf numFmtId="0" fontId="2" fillId="5" borderId="0" xfId="4"/>
    <xf numFmtId="0" fontId="2" fillId="4" borderId="0" xfId="3"/>
    <xf numFmtId="0" fontId="3" fillId="7" borderId="0" xfId="6"/>
  </cellXfs>
  <cellStyles count="7">
    <cellStyle name="60 % - Akzent1" xfId="3" builtinId="32"/>
    <cellStyle name="60 % - Akzent3" xfId="4" builtinId="40"/>
    <cellStyle name="Akzent1" xfId="2" builtinId="29"/>
    <cellStyle name="Akzent4" xfId="5" builtinId="41"/>
    <cellStyle name="Akzent5" xfId="6" builtinId="45"/>
    <cellStyle name="Neutral" xfId="1" builtinId="2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39" zoomScale="115" zoomScaleNormal="115" workbookViewId="0">
      <selection activeCell="B39" sqref="B39"/>
    </sheetView>
  </sheetViews>
  <sheetFormatPr baseColWidth="10" defaultColWidth="8.90625" defaultRowHeight="14.5" x14ac:dyDescent="0.35"/>
  <cols>
    <col min="1" max="1" width="65" customWidth="1"/>
    <col min="2" max="2" width="25" customWidth="1"/>
  </cols>
  <sheetData>
    <row r="1" spans="1:3" x14ac:dyDescent="0.35">
      <c r="A1" s="3" t="s">
        <v>0</v>
      </c>
      <c r="B1" s="3" t="s">
        <v>56</v>
      </c>
    </row>
    <row r="2" spans="1:3" x14ac:dyDescent="0.35">
      <c r="A2" s="2" t="s">
        <v>1</v>
      </c>
      <c r="B2" s="2"/>
    </row>
    <row r="3" spans="1:3" x14ac:dyDescent="0.35">
      <c r="A3" s="4" t="s">
        <v>2</v>
      </c>
      <c r="B3" s="4">
        <v>43000</v>
      </c>
    </row>
    <row r="4" spans="1:3" x14ac:dyDescent="0.35">
      <c r="A4" s="4" t="s">
        <v>3</v>
      </c>
      <c r="B4" s="4">
        <v>3150</v>
      </c>
    </row>
    <row r="5" spans="1:3" x14ac:dyDescent="0.35">
      <c r="A5" s="5" t="s">
        <v>4</v>
      </c>
      <c r="B5" s="5">
        <f>B3*B4/1000000</f>
        <v>135.44999999999999</v>
      </c>
    </row>
    <row r="6" spans="1:3" x14ac:dyDescent="0.35">
      <c r="A6" s="4" t="s">
        <v>5</v>
      </c>
      <c r="B6" s="4">
        <v>-98</v>
      </c>
      <c r="C6" s="4">
        <v>-38.96</v>
      </c>
    </row>
    <row r="7" spans="1:3" x14ac:dyDescent="0.35">
      <c r="A7" s="4" t="s">
        <v>6</v>
      </c>
      <c r="B7" s="4">
        <v>-5</v>
      </c>
    </row>
    <row r="8" spans="1:3" x14ac:dyDescent="0.35">
      <c r="A8" s="4" t="s">
        <v>7</v>
      </c>
      <c r="B8" s="4">
        <v>-10</v>
      </c>
    </row>
    <row r="9" spans="1:3" x14ac:dyDescent="0.35">
      <c r="A9" s="4" t="s">
        <v>8</v>
      </c>
      <c r="B9" s="4">
        <v>-8</v>
      </c>
    </row>
    <row r="10" spans="1:3" x14ac:dyDescent="0.35">
      <c r="A10" s="4" t="s">
        <v>9</v>
      </c>
      <c r="B10" s="4">
        <v>-6.75</v>
      </c>
    </row>
    <row r="11" spans="1:3" x14ac:dyDescent="0.35">
      <c r="A11" s="1" t="s">
        <v>10</v>
      </c>
      <c r="B11" s="1">
        <v>-0.25</v>
      </c>
    </row>
    <row r="12" spans="1:3" x14ac:dyDescent="0.35">
      <c r="A12" s="4" t="s">
        <v>11</v>
      </c>
      <c r="B12" s="4">
        <v>0</v>
      </c>
    </row>
    <row r="13" spans="1:3" x14ac:dyDescent="0.35">
      <c r="A13" s="5" t="s">
        <v>12</v>
      </c>
      <c r="B13" s="5">
        <f>SUM(B5:B12)</f>
        <v>7.4499999999999886</v>
      </c>
    </row>
    <row r="14" spans="1:3" x14ac:dyDescent="0.35">
      <c r="A14" s="1" t="s">
        <v>13</v>
      </c>
      <c r="B14" s="1">
        <v>7</v>
      </c>
    </row>
    <row r="15" spans="1:3" x14ac:dyDescent="0.35">
      <c r="A15" s="1" t="s">
        <v>14</v>
      </c>
      <c r="B15" s="1">
        <v>8</v>
      </c>
    </row>
    <row r="16" spans="1:3" x14ac:dyDescent="0.35">
      <c r="A16" s="4" t="s">
        <v>15</v>
      </c>
      <c r="B16" s="4">
        <v>5</v>
      </c>
    </row>
    <row r="17" spans="1:2" x14ac:dyDescent="0.35">
      <c r="A17" s="4" t="s">
        <v>16</v>
      </c>
      <c r="B17" s="4">
        <v>17</v>
      </c>
    </row>
    <row r="18" spans="1:2" x14ac:dyDescent="0.35">
      <c r="A18" s="5" t="s">
        <v>17</v>
      </c>
      <c r="B18" s="5">
        <f>-(B16*(B14/100) + B17*(B15/100))</f>
        <v>-1.7100000000000002</v>
      </c>
    </row>
    <row r="19" spans="1:2" x14ac:dyDescent="0.35">
      <c r="A19" s="5" t="s">
        <v>18</v>
      </c>
      <c r="B19" s="5">
        <f>B13+B18</f>
        <v>5.7399999999999887</v>
      </c>
    </row>
    <row r="20" spans="1:2" x14ac:dyDescent="0.35">
      <c r="A20" s="4" t="s">
        <v>19</v>
      </c>
      <c r="B20" s="4">
        <v>6.27</v>
      </c>
    </row>
    <row r="21" spans="1:2" x14ac:dyDescent="0.35">
      <c r="A21" s="5" t="s">
        <v>20</v>
      </c>
      <c r="B21" s="5">
        <f>MAX(0, B19-B20)</f>
        <v>0</v>
      </c>
    </row>
    <row r="22" spans="1:2" x14ac:dyDescent="0.35">
      <c r="A22" s="1" t="s">
        <v>21</v>
      </c>
      <c r="B22" s="1">
        <v>45</v>
      </c>
    </row>
    <row r="23" spans="1:2" x14ac:dyDescent="0.35">
      <c r="A23" s="5" t="s">
        <v>22</v>
      </c>
      <c r="B23" s="5">
        <f>-B21*(B22/100)</f>
        <v>0</v>
      </c>
    </row>
    <row r="24" spans="1:2" x14ac:dyDescent="0.35">
      <c r="A24" s="5" t="s">
        <v>23</v>
      </c>
      <c r="B24" s="5">
        <f>B19+B23</f>
        <v>5.7399999999999887</v>
      </c>
    </row>
    <row r="26" spans="1:2" x14ac:dyDescent="0.35">
      <c r="A26" s="2" t="s">
        <v>24</v>
      </c>
      <c r="B26" s="2"/>
    </row>
    <row r="27" spans="1:2" x14ac:dyDescent="0.35">
      <c r="A27" s="4" t="s">
        <v>25</v>
      </c>
      <c r="B27" s="4">
        <v>31.27</v>
      </c>
    </row>
    <row r="28" spans="1:2" x14ac:dyDescent="0.35">
      <c r="A28" s="4" t="s">
        <v>26</v>
      </c>
      <c r="B28" s="4">
        <v>-1</v>
      </c>
    </row>
    <row r="29" spans="1:2" x14ac:dyDescent="0.35">
      <c r="A29" s="5" t="s">
        <v>27</v>
      </c>
      <c r="B29" s="5">
        <f>B27+B28+B24</f>
        <v>36.009999999999991</v>
      </c>
    </row>
    <row r="30" spans="1:2" x14ac:dyDescent="0.35">
      <c r="A30" s="5" t="s">
        <v>28</v>
      </c>
      <c r="B30" s="5">
        <f>(B24/B29)*100</f>
        <v>15.940016662038294</v>
      </c>
    </row>
    <row r="32" spans="1:2" x14ac:dyDescent="0.35">
      <c r="A32" s="2" t="s">
        <v>29</v>
      </c>
      <c r="B32" s="2"/>
    </row>
    <row r="33" spans="1:3" x14ac:dyDescent="0.35">
      <c r="A33" s="5" t="s">
        <v>30</v>
      </c>
      <c r="B33" s="5">
        <f>B24</f>
        <v>5.7399999999999887</v>
      </c>
    </row>
    <row r="34" spans="1:3" x14ac:dyDescent="0.35">
      <c r="A34" s="5" t="s">
        <v>31</v>
      </c>
      <c r="B34" s="5">
        <f>-(B10+B11+B12)</f>
        <v>7</v>
      </c>
    </row>
    <row r="35" spans="1:3" x14ac:dyDescent="0.35">
      <c r="A35" s="4" t="s">
        <v>32</v>
      </c>
      <c r="B35" s="4">
        <v>2</v>
      </c>
    </row>
    <row r="36" spans="1:3" x14ac:dyDescent="0.35">
      <c r="A36" s="5" t="s">
        <v>33</v>
      </c>
      <c r="B36" s="5">
        <f>B33+B34+B35</f>
        <v>14.739999999999988</v>
      </c>
    </row>
    <row r="37" spans="1:3" x14ac:dyDescent="0.35">
      <c r="A37" s="4" t="s">
        <v>34</v>
      </c>
      <c r="B37" s="4">
        <f>25.8-27.09</f>
        <v>-1.2899999999999991</v>
      </c>
      <c r="C37" t="s">
        <v>57</v>
      </c>
    </row>
    <row r="38" spans="1:3" x14ac:dyDescent="0.35">
      <c r="A38" s="4" t="s">
        <v>35</v>
      </c>
      <c r="B38" s="4">
        <f>(7.91-7.15)+0</f>
        <v>0.75999999999999979</v>
      </c>
      <c r="C38" t="s">
        <v>58</v>
      </c>
    </row>
    <row r="39" spans="1:3" x14ac:dyDescent="0.35">
      <c r="A39" s="5" t="s">
        <v>36</v>
      </c>
      <c r="B39" s="5">
        <f>B36+B37+B38</f>
        <v>14.209999999999988</v>
      </c>
    </row>
    <row r="41" spans="1:3" x14ac:dyDescent="0.35">
      <c r="A41" s="2" t="s">
        <v>37</v>
      </c>
      <c r="B41" s="2"/>
    </row>
    <row r="42" spans="1:3" x14ac:dyDescent="0.35">
      <c r="A42" s="6" t="s">
        <v>38</v>
      </c>
      <c r="B42" s="6"/>
    </row>
    <row r="43" spans="1:3" x14ac:dyDescent="0.35">
      <c r="A43" s="5" t="s">
        <v>39</v>
      </c>
      <c r="B43" s="5">
        <f>B5*0.8</f>
        <v>108.36</v>
      </c>
    </row>
    <row r="44" spans="1:3" x14ac:dyDescent="0.35">
      <c r="A44" s="4" t="s">
        <v>40</v>
      </c>
      <c r="B44" s="4">
        <v>25.8</v>
      </c>
    </row>
    <row r="45" spans="1:3" x14ac:dyDescent="0.35">
      <c r="A45" s="4" t="s">
        <v>41</v>
      </c>
      <c r="B45" s="4">
        <v>22</v>
      </c>
    </row>
    <row r="46" spans="1:3" x14ac:dyDescent="0.35">
      <c r="A46" s="5" t="s">
        <v>42</v>
      </c>
      <c r="B46" s="5">
        <f>SUM(B43:B45)</f>
        <v>156.16</v>
      </c>
    </row>
    <row r="48" spans="1:3" x14ac:dyDescent="0.35">
      <c r="A48" s="6" t="s">
        <v>43</v>
      </c>
      <c r="B48" s="6"/>
    </row>
    <row r="49" spans="1:2" x14ac:dyDescent="0.35">
      <c r="A49" s="5" t="s">
        <v>44</v>
      </c>
      <c r="B49" s="5">
        <f>-B6</f>
        <v>98</v>
      </c>
    </row>
    <row r="50" spans="1:2" x14ac:dyDescent="0.35">
      <c r="A50" s="5" t="s">
        <v>45</v>
      </c>
      <c r="B50" s="5">
        <f>-B7</f>
        <v>5</v>
      </c>
    </row>
    <row r="51" spans="1:2" x14ac:dyDescent="0.35">
      <c r="A51" s="5" t="s">
        <v>46</v>
      </c>
      <c r="B51" s="5">
        <f>-(B8+B9)</f>
        <v>18</v>
      </c>
    </row>
    <row r="52" spans="1:2" x14ac:dyDescent="0.35">
      <c r="A52" s="5" t="s">
        <v>47</v>
      </c>
      <c r="B52" s="5">
        <f>-B18</f>
        <v>1.7100000000000002</v>
      </c>
    </row>
    <row r="53" spans="1:2" x14ac:dyDescent="0.35">
      <c r="A53" s="5" t="s">
        <v>48</v>
      </c>
      <c r="B53" s="5">
        <f>-B23</f>
        <v>0</v>
      </c>
    </row>
    <row r="54" spans="1:2" x14ac:dyDescent="0.35">
      <c r="A54" s="4" t="s">
        <v>49</v>
      </c>
      <c r="B54" s="4">
        <v>0</v>
      </c>
    </row>
    <row r="55" spans="1:2" x14ac:dyDescent="0.35">
      <c r="A55" s="4" t="s">
        <v>50</v>
      </c>
      <c r="B55" s="4">
        <v>27</v>
      </c>
    </row>
    <row r="56" spans="1:2" x14ac:dyDescent="0.35">
      <c r="A56" s="5" t="s">
        <v>51</v>
      </c>
      <c r="B56" s="5">
        <f>-B28</f>
        <v>1</v>
      </c>
    </row>
    <row r="57" spans="1:2" x14ac:dyDescent="0.35">
      <c r="A57" s="5" t="s">
        <v>52</v>
      </c>
      <c r="B57" s="5">
        <f>SUM(B49:B56)</f>
        <v>150.70999999999998</v>
      </c>
    </row>
    <row r="59" spans="1:2" x14ac:dyDescent="0.35">
      <c r="A59" s="5" t="s">
        <v>53</v>
      </c>
      <c r="B59" s="5">
        <f>B46-B57</f>
        <v>5.4500000000000171</v>
      </c>
    </row>
    <row r="60" spans="1:2" x14ac:dyDescent="0.35">
      <c r="A60" s="4" t="s">
        <v>54</v>
      </c>
      <c r="B60" s="4">
        <v>11.26</v>
      </c>
    </row>
    <row r="61" spans="1:2" x14ac:dyDescent="0.35">
      <c r="A61" s="5" t="s">
        <v>55</v>
      </c>
      <c r="B61" s="5">
        <f>B59+B60</f>
        <v>16.710000000000015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TOPSIM Planung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Kempe</cp:lastModifiedBy>
  <dcterms:created xsi:type="dcterms:W3CDTF">2026-04-15T21:31:40Z</dcterms:created>
  <dcterms:modified xsi:type="dcterms:W3CDTF">2026-04-16T10:46:18Z</dcterms:modified>
</cp:coreProperties>
</file>