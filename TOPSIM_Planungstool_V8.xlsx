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astian\Downloads\"/>
    </mc:Choice>
  </mc:AlternateContent>
  <xr:revisionPtr revIDLastSave="0" documentId="13_ncr:1_{BDD64D7D-46B5-4EC3-A454-6B598D66D1CD}" xr6:coauthVersionLast="47" xr6:coauthVersionMax="47" xr10:uidLastSave="{00000000-0000-0000-0000-000000000000}"/>
  <bookViews>
    <workbookView xWindow="38280" yWindow="-120" windowWidth="29040" windowHeight="16440" xr2:uid="{00000000-000D-0000-FFFF-FFFF00000000}"/>
  </bookViews>
  <sheets>
    <sheet name="TOPSIM Plan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" l="1"/>
  <c r="B51" i="1"/>
  <c r="B50" i="1"/>
  <c r="B49" i="1"/>
  <c r="B34" i="1"/>
  <c r="B18" i="1"/>
  <c r="B52" i="1" s="1"/>
  <c r="B5" i="1"/>
  <c r="B43" i="1" s="1"/>
  <c r="B46" i="1" s="1"/>
  <c r="B13" i="1" l="1"/>
  <c r="B19" i="1" s="1"/>
  <c r="B21" i="1" l="1"/>
  <c r="B23" i="1" s="1"/>
  <c r="B53" i="1" s="1"/>
  <c r="B57" i="1" s="1"/>
  <c r="B59" i="1" s="1"/>
  <c r="B61" i="1" s="1"/>
  <c r="B24" i="1" l="1"/>
  <c r="B33" i="1"/>
  <c r="B36" i="1" s="1"/>
  <c r="B39" i="1" s="1"/>
  <c r="B29" i="1"/>
  <c r="B30" i="1" s="1"/>
</calcChain>
</file>

<file path=xl/sharedStrings.xml><?xml version="1.0" encoding="utf-8"?>
<sst xmlns="http://schemas.openxmlformats.org/spreadsheetml/2006/main" count="57" uniqueCount="57">
  <si>
    <t>Position</t>
  </si>
  <si>
    <t>Szenario 1 (Planung)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</si>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</sst>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BF1DE"/>
      </patternFill>
    </fill>
    <fill>
      <patternFill patternType="solid">
        <fgColor rgb="FF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3" borderId="0" xfId="0" applyFill="1"/>
    <xf numFmtId="0" fontId="0" fillId="4" borderId="0" xfId="0" applyFill="1"/>
    <xf numFmtId="0" fontId="2" fillId="4" borderId="0" xfId="0" applyFont="1" applyFill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tabSelected="1" zoomScale="115" zoomScaleNormal="115" workbookViewId="0">
      <selection activeCell="D43" sqref="D43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/>
    </row>
    <row r="3" spans="1:2" x14ac:dyDescent="0.3">
      <c r="A3" t="s">
        <v>3</v>
      </c>
      <c r="B3" s="3">
        <v>45000</v>
      </c>
    </row>
    <row r="4" spans="1:2" x14ac:dyDescent="0.3">
      <c r="A4" t="s">
        <v>4</v>
      </c>
      <c r="B4" s="3">
        <v>3200</v>
      </c>
    </row>
    <row r="5" spans="1:2" x14ac:dyDescent="0.3">
      <c r="A5" t="s">
        <v>5</v>
      </c>
      <c r="B5" s="4">
        <f>B3*B4/1000000</f>
        <v>144</v>
      </c>
    </row>
    <row r="6" spans="1:2" x14ac:dyDescent="0.3">
      <c r="A6" t="s">
        <v>6</v>
      </c>
      <c r="B6" s="3">
        <v>-95</v>
      </c>
    </row>
    <row r="7" spans="1:2" x14ac:dyDescent="0.3">
      <c r="A7" t="s">
        <v>7</v>
      </c>
      <c r="B7" s="3">
        <v>-3.5</v>
      </c>
    </row>
    <row r="8" spans="1:2" x14ac:dyDescent="0.3">
      <c r="A8" t="s">
        <v>8</v>
      </c>
      <c r="B8" s="3">
        <v>-26.5</v>
      </c>
    </row>
    <row r="9" spans="1:2" x14ac:dyDescent="0.3">
      <c r="A9" t="s">
        <v>9</v>
      </c>
      <c r="B9" s="3">
        <v>-20</v>
      </c>
    </row>
    <row r="10" spans="1:2" x14ac:dyDescent="0.3">
      <c r="A10" t="s">
        <v>10</v>
      </c>
      <c r="B10" s="3">
        <v>-6.75</v>
      </c>
    </row>
    <row r="11" spans="1:2" x14ac:dyDescent="0.3">
      <c r="A11" t="s">
        <v>11</v>
      </c>
      <c r="B11" s="3">
        <v>-0.25</v>
      </c>
    </row>
    <row r="12" spans="1:2" x14ac:dyDescent="0.3">
      <c r="A12" t="s">
        <v>12</v>
      </c>
      <c r="B12" s="3">
        <v>-2.5</v>
      </c>
    </row>
    <row r="13" spans="1:2" x14ac:dyDescent="0.3">
      <c r="A13" s="2" t="s">
        <v>13</v>
      </c>
      <c r="B13" s="5">
        <f>SUM(B5:B12)</f>
        <v>-10.5</v>
      </c>
    </row>
    <row r="14" spans="1:2" x14ac:dyDescent="0.3">
      <c r="A14" t="s">
        <v>14</v>
      </c>
      <c r="B14" s="3">
        <v>7</v>
      </c>
    </row>
    <row r="15" spans="1:2" x14ac:dyDescent="0.3">
      <c r="A15" t="s">
        <v>15</v>
      </c>
      <c r="B15" s="3">
        <v>8</v>
      </c>
    </row>
    <row r="16" spans="1:2" x14ac:dyDescent="0.3">
      <c r="A16" t="s">
        <v>16</v>
      </c>
      <c r="B16" s="3">
        <v>25.5</v>
      </c>
    </row>
    <row r="17" spans="1:2" x14ac:dyDescent="0.3">
      <c r="A17" t="s">
        <v>17</v>
      </c>
      <c r="B17" s="3">
        <v>10</v>
      </c>
    </row>
    <row r="18" spans="1:2" x14ac:dyDescent="0.3">
      <c r="A18" s="2" t="s">
        <v>18</v>
      </c>
      <c r="B18" s="5">
        <f>-(B16*(B14/100) + B17*(B15/100))</f>
        <v>-2.585</v>
      </c>
    </row>
    <row r="19" spans="1:2" x14ac:dyDescent="0.3">
      <c r="A19" s="2" t="s">
        <v>19</v>
      </c>
      <c r="B19" s="5">
        <f>B13+B18</f>
        <v>-13.085000000000001</v>
      </c>
    </row>
    <row r="20" spans="1:2" x14ac:dyDescent="0.3">
      <c r="A20" t="s">
        <v>20</v>
      </c>
      <c r="B20" s="3">
        <v>0</v>
      </c>
    </row>
    <row r="21" spans="1:2" x14ac:dyDescent="0.3">
      <c r="A21" t="s">
        <v>21</v>
      </c>
      <c r="B21" s="4">
        <f>MAX(0, B19-B20)</f>
        <v>0</v>
      </c>
    </row>
    <row r="22" spans="1:2" x14ac:dyDescent="0.3">
      <c r="A22" t="s">
        <v>22</v>
      </c>
      <c r="B22" s="3">
        <v>45</v>
      </c>
    </row>
    <row r="23" spans="1:2" x14ac:dyDescent="0.3">
      <c r="A23" s="2" t="s">
        <v>23</v>
      </c>
      <c r="B23" s="5">
        <f>-B21*(B22/100)</f>
        <v>0</v>
      </c>
    </row>
    <row r="24" spans="1:2" x14ac:dyDescent="0.3">
      <c r="A24" s="2" t="s">
        <v>24</v>
      </c>
      <c r="B24" s="5">
        <f>B19+B23</f>
        <v>-13.085000000000001</v>
      </c>
    </row>
    <row r="26" spans="1:2" x14ac:dyDescent="0.3">
      <c r="A26" s="2" t="s">
        <v>25</v>
      </c>
      <c r="B26" s="2"/>
    </row>
    <row r="27" spans="1:2" x14ac:dyDescent="0.3">
      <c r="A27" t="s">
        <v>26</v>
      </c>
      <c r="B27" s="3">
        <v>43.02</v>
      </c>
    </row>
    <row r="28" spans="1:2" x14ac:dyDescent="0.3">
      <c r="A28" t="s">
        <v>27</v>
      </c>
      <c r="B28" s="3">
        <v>-1</v>
      </c>
    </row>
    <row r="29" spans="1:2" x14ac:dyDescent="0.3">
      <c r="A29" s="2" t="s">
        <v>28</v>
      </c>
      <c r="B29" s="5">
        <f>B27+B28+B24</f>
        <v>28.935000000000002</v>
      </c>
    </row>
    <row r="30" spans="1:2" x14ac:dyDescent="0.3">
      <c r="A30" s="2" t="s">
        <v>29</v>
      </c>
      <c r="B30" s="5">
        <f>(B24/B29)*100</f>
        <v>-45.222049421116296</v>
      </c>
    </row>
    <row r="32" spans="1:2" x14ac:dyDescent="0.3">
      <c r="A32" t="s">
        <v>30</v>
      </c>
    </row>
    <row r="33" spans="1:2" x14ac:dyDescent="0.3">
      <c r="A33" s="2" t="s">
        <v>31</v>
      </c>
      <c r="B33" s="5">
        <f>B24</f>
        <v>-13.085000000000001</v>
      </c>
    </row>
    <row r="34" spans="1:2" x14ac:dyDescent="0.3">
      <c r="A34" t="s">
        <v>32</v>
      </c>
      <c r="B34" s="4">
        <f>-(B10+B11+B12)</f>
        <v>9.5</v>
      </c>
    </row>
    <row r="35" spans="1:2" x14ac:dyDescent="0.3">
      <c r="A35" t="s">
        <v>33</v>
      </c>
      <c r="B35" s="3">
        <v>2</v>
      </c>
    </row>
    <row r="36" spans="1:2" x14ac:dyDescent="0.3">
      <c r="A36" t="s">
        <v>34</v>
      </c>
      <c r="B36" s="4">
        <f>B33+B34+B35</f>
        <v>-1.5850000000000009</v>
      </c>
    </row>
    <row r="37" spans="1:2" x14ac:dyDescent="0.3">
      <c r="A37" t="s">
        <v>35</v>
      </c>
      <c r="B37" s="3">
        <v>-3</v>
      </c>
    </row>
    <row r="38" spans="1:2" x14ac:dyDescent="0.3">
      <c r="A38" t="s">
        <v>36</v>
      </c>
      <c r="B38" s="3">
        <v>1</v>
      </c>
    </row>
    <row r="39" spans="1:2" x14ac:dyDescent="0.3">
      <c r="A39" s="2" t="s">
        <v>37</v>
      </c>
      <c r="B39" s="5">
        <f>B36+B37+B38</f>
        <v>-3.5850000000000009</v>
      </c>
    </row>
    <row r="41" spans="1:2" x14ac:dyDescent="0.3">
      <c r="A41" s="2" t="s">
        <v>38</v>
      </c>
      <c r="B41" s="2"/>
    </row>
    <row r="42" spans="1:2" x14ac:dyDescent="0.3">
      <c r="A42" s="2" t="s">
        <v>39</v>
      </c>
    </row>
    <row r="43" spans="1:2" x14ac:dyDescent="0.3">
      <c r="A43" t="s">
        <v>40</v>
      </c>
      <c r="B43" s="4">
        <f>B5*0.8</f>
        <v>115.2</v>
      </c>
    </row>
    <row r="44" spans="1:2" x14ac:dyDescent="0.3">
      <c r="A44" t="s">
        <v>41</v>
      </c>
      <c r="B44" s="3">
        <v>25.8</v>
      </c>
    </row>
    <row r="45" spans="1:2" x14ac:dyDescent="0.3">
      <c r="A45" t="s">
        <v>42</v>
      </c>
      <c r="B45" s="3">
        <v>30</v>
      </c>
    </row>
    <row r="46" spans="1:2" x14ac:dyDescent="0.3">
      <c r="A46" t="s">
        <v>43</v>
      </c>
      <c r="B46" s="4">
        <f>SUM(B43:B45)</f>
        <v>171</v>
      </c>
    </row>
    <row r="48" spans="1:2" x14ac:dyDescent="0.3">
      <c r="A48" s="2" t="s">
        <v>44</v>
      </c>
    </row>
    <row r="49" spans="1:2" x14ac:dyDescent="0.3">
      <c r="A49" t="s">
        <v>45</v>
      </c>
      <c r="B49" s="4">
        <f>-B6</f>
        <v>95</v>
      </c>
    </row>
    <row r="50" spans="1:2" x14ac:dyDescent="0.3">
      <c r="A50" t="s">
        <v>46</v>
      </c>
      <c r="B50" s="4">
        <f>-B7</f>
        <v>3.5</v>
      </c>
    </row>
    <row r="51" spans="1:2" x14ac:dyDescent="0.3">
      <c r="A51" t="s">
        <v>47</v>
      </c>
      <c r="B51" s="4">
        <f>-(B8+B9)</f>
        <v>46.5</v>
      </c>
    </row>
    <row r="52" spans="1:2" x14ac:dyDescent="0.3">
      <c r="A52" t="s">
        <v>48</v>
      </c>
      <c r="B52" s="4">
        <f>-B18</f>
        <v>2.585</v>
      </c>
    </row>
    <row r="53" spans="1:2" x14ac:dyDescent="0.3">
      <c r="A53" t="s">
        <v>49</v>
      </c>
      <c r="B53" s="4">
        <f>-B23</f>
        <v>0</v>
      </c>
    </row>
    <row r="54" spans="1:2" x14ac:dyDescent="0.3">
      <c r="A54" t="s">
        <v>50</v>
      </c>
      <c r="B54" s="3">
        <v>22.5</v>
      </c>
    </row>
    <row r="55" spans="1:2" x14ac:dyDescent="0.3">
      <c r="A55" t="s">
        <v>51</v>
      </c>
      <c r="B55" s="3">
        <v>20</v>
      </c>
    </row>
    <row r="56" spans="1:2" x14ac:dyDescent="0.3">
      <c r="A56" t="s">
        <v>52</v>
      </c>
      <c r="B56" s="4">
        <f>-B28</f>
        <v>1</v>
      </c>
    </row>
    <row r="57" spans="1:2" x14ac:dyDescent="0.3">
      <c r="A57" t="s">
        <v>53</v>
      </c>
      <c r="B57" s="4">
        <f>SUM(B49:B56)</f>
        <v>191.08500000000001</v>
      </c>
    </row>
    <row r="59" spans="1:2" x14ac:dyDescent="0.3">
      <c r="A59" t="s">
        <v>54</v>
      </c>
      <c r="B59" s="4">
        <f>B46-B57</f>
        <v>-20.085000000000008</v>
      </c>
    </row>
    <row r="60" spans="1:2" x14ac:dyDescent="0.3">
      <c r="A60" t="s">
        <v>55</v>
      </c>
      <c r="B60" s="3">
        <v>11.26</v>
      </c>
    </row>
    <row r="61" spans="1:2" x14ac:dyDescent="0.3">
      <c r="A61" s="2" t="s">
        <v>56</v>
      </c>
      <c r="B61" s="4">
        <f>B59+B60</f>
        <v>-8.8250000000000082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TOPSIM Planung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2026-04-15T21:39:31Z</dcterms:modified>
</cp:coreProperties>
</file>