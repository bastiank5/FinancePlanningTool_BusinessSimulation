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6db5acea2ea2686/Hochschule/Sechstes Semester/Business Simulation/Finance Tool/"/>
    </mc:Choice>
  </mc:AlternateContent>
  <xr:revisionPtr revIDLastSave="658" documentId="13_ncr:1_{F97B8132-19C7-41E8-9E6A-7064A538CFB7}" xr6:coauthVersionLast="47" xr6:coauthVersionMax="47" xr10:uidLastSave="{70DB080B-43A4-4B2F-8EF1-3B59EF6A0D6B}"/>
  <bookViews>
    <workbookView xWindow="-108" yWindow="-108" windowWidth="30936" windowHeight="17496" activeTab="8" xr2:uid="{00000000-000D-0000-FFFF-FFFF00000000}"/>
  </bookViews>
  <sheets>
    <sheet name="Sandbox Periode" sheetId="6" r:id="rId1"/>
    <sheet name="Periode 1" sheetId="1" r:id="rId2"/>
    <sheet name="Periode 2 ALT" sheetId="2" r:id="rId3"/>
    <sheet name="Periode 2 " sheetId="9" r:id="rId4"/>
    <sheet name="Periode 3 ALT" sheetId="4" r:id="rId5"/>
    <sheet name="Periode 3" sheetId="8" r:id="rId6"/>
    <sheet name="Periode 4" sheetId="10" r:id="rId7"/>
    <sheet name="Periode 5 DRAFT" sheetId="11" r:id="rId8"/>
    <sheet name="Periode 6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" i="12" l="1"/>
  <c r="B81" i="12"/>
  <c r="B78" i="12"/>
  <c r="B76" i="12"/>
  <c r="B49" i="12"/>
  <c r="B86" i="12" s="1"/>
  <c r="B41" i="12"/>
  <c r="B34" i="12"/>
  <c r="B85" i="12" s="1"/>
  <c r="B27" i="12"/>
  <c r="B65" i="12" s="1"/>
  <c r="B18" i="12"/>
  <c r="B17" i="12"/>
  <c r="B16" i="12"/>
  <c r="B15" i="12"/>
  <c r="B14" i="12"/>
  <c r="B13" i="12"/>
  <c r="B11" i="12"/>
  <c r="B10" i="12"/>
  <c r="B82" i="12" s="1"/>
  <c r="B9" i="12"/>
  <c r="B7" i="12"/>
  <c r="B90" i="11"/>
  <c r="B85" i="11"/>
  <c r="B81" i="11"/>
  <c r="B78" i="11"/>
  <c r="B76" i="11"/>
  <c r="B49" i="11"/>
  <c r="B86" i="11" s="1"/>
  <c r="B41" i="11"/>
  <c r="B34" i="11"/>
  <c r="B27" i="11"/>
  <c r="B65" i="11" s="1"/>
  <c r="B22" i="11"/>
  <c r="B84" i="11" s="1"/>
  <c r="B19" i="11"/>
  <c r="B18" i="11"/>
  <c r="B17" i="11"/>
  <c r="B16" i="11"/>
  <c r="B15" i="11"/>
  <c r="B14" i="11"/>
  <c r="B13" i="11"/>
  <c r="B11" i="11"/>
  <c r="B10" i="11"/>
  <c r="B82" i="11" s="1"/>
  <c r="B83" i="11" s="1"/>
  <c r="B9" i="11"/>
  <c r="B7" i="11"/>
  <c r="B41" i="10"/>
  <c r="B90" i="10"/>
  <c r="B81" i="10"/>
  <c r="B78" i="10"/>
  <c r="B76" i="10"/>
  <c r="B65" i="10"/>
  <c r="B49" i="10"/>
  <c r="B86" i="10" s="1"/>
  <c r="B34" i="10"/>
  <c r="B27" i="10"/>
  <c r="B18" i="10"/>
  <c r="B17" i="10"/>
  <c r="B16" i="10"/>
  <c r="B15" i="10"/>
  <c r="B14" i="10"/>
  <c r="B13" i="10"/>
  <c r="B22" i="10" s="1"/>
  <c r="B84" i="10" s="1"/>
  <c r="B11" i="10"/>
  <c r="B10" i="10"/>
  <c r="B82" i="10" s="1"/>
  <c r="B9" i="10"/>
  <c r="B7" i="10"/>
  <c r="B75" i="10" s="1"/>
  <c r="B79" i="10" s="1"/>
  <c r="B34" i="8"/>
  <c r="B18" i="8"/>
  <c r="B14" i="8"/>
  <c r="B13" i="8"/>
  <c r="B9" i="8"/>
  <c r="B81" i="8"/>
  <c r="B19" i="8"/>
  <c r="B66" i="8" s="1"/>
  <c r="B17" i="8"/>
  <c r="B15" i="8"/>
  <c r="B16" i="8"/>
  <c r="B41" i="8"/>
  <c r="B11" i="8"/>
  <c r="B10" i="8"/>
  <c r="B7" i="8"/>
  <c r="B75" i="8" s="1"/>
  <c r="B76" i="8"/>
  <c r="B87" i="9"/>
  <c r="B82" i="9"/>
  <c r="B80" i="9"/>
  <c r="B79" i="9"/>
  <c r="B75" i="9"/>
  <c r="B67" i="9"/>
  <c r="B63" i="9"/>
  <c r="B62" i="9"/>
  <c r="B46" i="9"/>
  <c r="B83" i="9" s="1"/>
  <c r="B25" i="9"/>
  <c r="B20" i="9"/>
  <c r="B39" i="9" s="1"/>
  <c r="B41" i="9" s="1"/>
  <c r="B47" i="9" s="1"/>
  <c r="B5" i="9"/>
  <c r="B72" i="9" s="1"/>
  <c r="B76" i="9" s="1"/>
  <c r="B90" i="8"/>
  <c r="B85" i="8"/>
  <c r="B82" i="8"/>
  <c r="B83" i="8" s="1"/>
  <c r="B78" i="8"/>
  <c r="B49" i="8"/>
  <c r="B86" i="8" s="1"/>
  <c r="B27" i="8"/>
  <c r="B65" i="8" s="1"/>
  <c r="B22" i="8"/>
  <c r="B84" i="8" s="1"/>
  <c r="B88" i="6"/>
  <c r="B82" i="6"/>
  <c r="B80" i="6"/>
  <c r="B79" i="6"/>
  <c r="B63" i="6"/>
  <c r="B67" i="6"/>
  <c r="B5" i="6"/>
  <c r="B25" i="6"/>
  <c r="B62" i="6" s="1"/>
  <c r="B20" i="6"/>
  <c r="B81" i="6" s="1"/>
  <c r="B87" i="6"/>
  <c r="B75" i="6"/>
  <c r="B46" i="6"/>
  <c r="B83" i="6" s="1"/>
  <c r="B39" i="4"/>
  <c r="B57" i="4"/>
  <c r="B52" i="4"/>
  <c r="B51" i="4"/>
  <c r="B50" i="4"/>
  <c r="B47" i="4"/>
  <c r="B34" i="4"/>
  <c r="B18" i="4"/>
  <c r="B53" i="4" s="1"/>
  <c r="B5" i="4"/>
  <c r="B13" i="4" s="1"/>
  <c r="B39" i="2"/>
  <c r="B34" i="2"/>
  <c r="B47" i="2"/>
  <c r="B30" i="1"/>
  <c r="B29" i="1"/>
  <c r="B58" i="2"/>
  <c r="B53" i="2"/>
  <c r="B52" i="2"/>
  <c r="B51" i="2"/>
  <c r="B18" i="2"/>
  <c r="B54" i="2" s="1"/>
  <c r="B5" i="2"/>
  <c r="B13" i="2" s="1"/>
  <c r="B38" i="1"/>
  <c r="B37" i="1"/>
  <c r="B56" i="1"/>
  <c r="B51" i="1"/>
  <c r="B50" i="1"/>
  <c r="B49" i="1"/>
  <c r="B34" i="1"/>
  <c r="B18" i="1"/>
  <c r="B52" i="1" s="1"/>
  <c r="B5" i="1"/>
  <c r="B43" i="1" s="1"/>
  <c r="B46" i="1" s="1"/>
  <c r="B22" i="12" l="1"/>
  <c r="B84" i="12" s="1"/>
  <c r="B19" i="12"/>
  <c r="B69" i="12"/>
  <c r="B75" i="12"/>
  <c r="B79" i="12" s="1"/>
  <c r="B83" i="12"/>
  <c r="B66" i="11"/>
  <c r="B42" i="11"/>
  <c r="B44" i="11" s="1"/>
  <c r="B50" i="11" s="1"/>
  <c r="B75" i="11"/>
  <c r="B79" i="11" s="1"/>
  <c r="B69" i="11"/>
  <c r="B85" i="10"/>
  <c r="B83" i="10"/>
  <c r="B42" i="10"/>
  <c r="B44" i="10" s="1"/>
  <c r="B50" i="10" s="1"/>
  <c r="B19" i="10"/>
  <c r="B66" i="10" s="1"/>
  <c r="B69" i="10"/>
  <c r="B79" i="8"/>
  <c r="B49" i="9"/>
  <c r="B51" i="9" s="1"/>
  <c r="B84" i="9" s="1"/>
  <c r="B81" i="9"/>
  <c r="B88" i="9" s="1"/>
  <c r="B90" i="9" s="1"/>
  <c r="B92" i="9" s="1"/>
  <c r="B66" i="9"/>
  <c r="B42" i="8"/>
  <c r="B44" i="8" s="1"/>
  <c r="B50" i="8" s="1"/>
  <c r="B69" i="8"/>
  <c r="B39" i="6"/>
  <c r="B41" i="6" s="1"/>
  <c r="B47" i="6" s="1"/>
  <c r="B66" i="6"/>
  <c r="B72" i="6"/>
  <c r="B76" i="6" s="1"/>
  <c r="B38" i="4"/>
  <c r="B44" i="4"/>
  <c r="B48" i="4" s="1"/>
  <c r="B19" i="4"/>
  <c r="B21" i="4" s="1"/>
  <c r="B23" i="4" s="1"/>
  <c r="B54" i="4" s="1"/>
  <c r="B58" i="4" s="1"/>
  <c r="B60" i="4" s="1"/>
  <c r="B62" i="4" s="1"/>
  <c r="B38" i="2"/>
  <c r="B19" i="2"/>
  <c r="B21" i="2" s="1"/>
  <c r="B23" i="2" s="1"/>
  <c r="B55" i="2" s="1"/>
  <c r="B59" i="2" s="1"/>
  <c r="B44" i="2"/>
  <c r="B48" i="2" s="1"/>
  <c r="B13" i="1"/>
  <c r="B19" i="1" s="1"/>
  <c r="B42" i="12" l="1"/>
  <c r="B44" i="12" s="1"/>
  <c r="B50" i="12" s="1"/>
  <c r="B66" i="12"/>
  <c r="B52" i="11"/>
  <c r="B54" i="11" s="1"/>
  <c r="B52" i="10"/>
  <c r="B54" i="10" s="1"/>
  <c r="B87" i="10" s="1"/>
  <c r="B91" i="10" s="1"/>
  <c r="B93" i="10" s="1"/>
  <c r="B95" i="10" s="1"/>
  <c r="B52" i="9"/>
  <c r="B52" i="8"/>
  <c r="B54" i="8" s="1"/>
  <c r="B87" i="8" s="1"/>
  <c r="B91" i="8" s="1"/>
  <c r="B93" i="8" s="1"/>
  <c r="B95" i="8" s="1"/>
  <c r="B24" i="4"/>
  <c r="B61" i="2"/>
  <c r="B63" i="2" s="1"/>
  <c r="B24" i="2"/>
  <c r="B33" i="2" s="1"/>
  <c r="B36" i="2" s="1"/>
  <c r="B40" i="2" s="1"/>
  <c r="B21" i="1"/>
  <c r="B23" i="1" s="1"/>
  <c r="B53" i="1" s="1"/>
  <c r="B57" i="1" s="1"/>
  <c r="B59" i="1" s="1"/>
  <c r="B61" i="1" s="1"/>
  <c r="B52" i="12" l="1"/>
  <c r="B54" i="12" s="1"/>
  <c r="B87" i="12" s="1"/>
  <c r="B91" i="12" s="1"/>
  <c r="B93" i="12" s="1"/>
  <c r="B95" i="12" s="1"/>
  <c r="B55" i="12"/>
  <c r="B87" i="11"/>
  <c r="B91" i="11" s="1"/>
  <c r="B93" i="11" s="1"/>
  <c r="B95" i="11" s="1"/>
  <c r="B55" i="11"/>
  <c r="B55" i="10"/>
  <c r="B64" i="10"/>
  <c r="B67" i="10" s="1"/>
  <c r="B71" i="10" s="1"/>
  <c r="B61" i="10"/>
  <c r="B60" i="10"/>
  <c r="B58" i="9"/>
  <c r="B57" i="9"/>
  <c r="B61" i="9"/>
  <c r="B64" i="9" s="1"/>
  <c r="B68" i="9" s="1"/>
  <c r="B55" i="8"/>
  <c r="B49" i="6"/>
  <c r="B30" i="4"/>
  <c r="B29" i="4"/>
  <c r="B33" i="4"/>
  <c r="B36" i="4" s="1"/>
  <c r="B40" i="4" s="1"/>
  <c r="B29" i="2"/>
  <c r="B30" i="2" s="1"/>
  <c r="B24" i="1"/>
  <c r="B33" i="1" s="1"/>
  <c r="B36" i="1" s="1"/>
  <c r="B39" i="1" s="1"/>
  <c r="B64" i="12" l="1"/>
  <c r="B67" i="12" s="1"/>
  <c r="B71" i="12" s="1"/>
  <c r="B61" i="12"/>
  <c r="B60" i="12"/>
  <c r="B64" i="11"/>
  <c r="B67" i="11" s="1"/>
  <c r="B71" i="11" s="1"/>
  <c r="B61" i="11"/>
  <c r="B60" i="11"/>
  <c r="B64" i="8"/>
  <c r="B67" i="8" s="1"/>
  <c r="B71" i="8" s="1"/>
  <c r="B61" i="8"/>
  <c r="B60" i="8"/>
  <c r="B51" i="6"/>
  <c r="B84" i="6" s="1"/>
  <c r="B90" i="6" s="1"/>
  <c r="B92" i="6" s="1"/>
  <c r="B52" i="6" l="1"/>
  <c r="B57" i="6" s="1"/>
  <c r="B61" i="6"/>
  <c r="B64" i="6" s="1"/>
  <c r="B68" i="6" s="1"/>
  <c r="B58" i="6"/>
</calcChain>
</file>

<file path=xl/sharedStrings.xml><?xml version="1.0" encoding="utf-8"?>
<sst xmlns="http://schemas.openxmlformats.org/spreadsheetml/2006/main" count="869" uniqueCount="146">
  <si>
    <t>Position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</si>
  <si>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</si>
  <si>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</si>
  <si>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</si>
  <si>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</si>
  <si>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</si>
  <si>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</si>
  <si>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</si>
  <si>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</si>
  <si>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</si>
  <si>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</si>
  <si>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</si>
  <si>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</si>
  <si>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</si>
  <si>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</si>
  <si>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</si>
  <si>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</si>
  <si>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</si>
  <si>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</si>
  <si>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</si>
  <si>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</si>
  <si>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</si>
  <si>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</si>
  <si>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</si>
  <si>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</si>
  <si>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</si>
  <si>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</si>
  <si>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</si>
  <si>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</si>
  <si>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</si>
  <si>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</si>
  <si>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</si>
  <si>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</si>
  <si>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</si>
  <si>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</si>
  <si>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</si>
  <si>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</si>
  <si>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</si>
  <si>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</si>
  <si>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</si>
  <si>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</si>
  <si>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</si>
  <si>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</si>
  <si>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</si>
  <si>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</si>
  <si>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</si>
  <si>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</si>
  <si>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</si>
  <si>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</si>
  <si>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</si>
  <si>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</si>
  <si>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</si>
  <si>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</si>
  <si>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</si>
  <si>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</si>
  <si>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</si>
  <si>
    <t xml:space="preserve">Szenario 1 </t>
  </si>
  <si>
    <t>25,8-27,09</t>
  </si>
  <si>
    <t>(7,91-7,15)+0</t>
  </si>
  <si>
    <t>HIER 0 EINTRAGEN</t>
  </si>
  <si>
    <t>Kommentar</t>
  </si>
  <si>
    <t>Kreditaufnahme Summe</t>
  </si>
  <si>
    <t>Kreditaufnahme NEU Langfristig</t>
  </si>
  <si>
    <t>Forderungen Vorperiode</t>
  </si>
  <si>
    <t xml:space="preserve">Material: 40500+2843-47000 = -157; Lager: 43500+5858-47000 = 2358 </t>
  </si>
  <si>
    <t>Im Moment noch 6 aber bei Neuaufnahme MIX</t>
  </si>
  <si>
    <t>Kurzfristige Kredite (Entscheidung) (MEUR)</t>
  </si>
  <si>
    <t>Geplante Materialkosten (MEUR)</t>
  </si>
  <si>
    <t>Geplante Fertigungsmenge × Materialverbrauch pro Stück × Einkaufspreis</t>
  </si>
  <si>
    <t>Berechnung pro Abteilung: Personalendbestand × Gehaltssatz</t>
  </si>
  <si>
    <t>Fertigung (MEUR)</t>
  </si>
  <si>
    <t>Verwaltung (MEUR)</t>
  </si>
  <si>
    <t>Vertrieb (MEUR)</t>
  </si>
  <si>
    <t>F&amp;E (MEUR)</t>
  </si>
  <si>
    <t>Einkauf (MEUR)</t>
  </si>
  <si>
    <t>Personalnebenkosten</t>
  </si>
  <si>
    <t>Abschreibungen Umwelttechnik (MEUR)</t>
  </si>
  <si>
    <t>MATERIALKOSTEN (EINSATZSTOFFE)</t>
  </si>
  <si>
    <t>PERSONALNEBENKOSTEN</t>
  </si>
  <si>
    <t>PERSONALKOSTEN</t>
  </si>
  <si>
    <t>ABSCHREIBUNGEN (FIXKOSTEN)</t>
  </si>
  <si>
    <t>SONSTIGE BETRIEBLICHE FIXKOSTEN</t>
  </si>
  <si>
    <t>Sonstige fixe Kosten (MEUR)</t>
  </si>
  <si>
    <t>Instandhaltung &amp; Rationalisierung (MEUR)</t>
  </si>
  <si>
    <t>EBIT, EBT &amp; JÜ</t>
  </si>
  <si>
    <t>Summe Selbstkosten Gesamt (Herstellkosten + Vertrieb + Verwaltung + F&amp;E)</t>
  </si>
  <si>
    <t>Abschreibungen Anlagen (MEUR)</t>
  </si>
  <si>
    <t>Prozessoptimierung (MEUR)</t>
  </si>
  <si>
    <t>MARKETING &amp; ENTWICKLUNG (ENTSCHEIDUNGEN)</t>
  </si>
  <si>
    <t xml:space="preserve">Zinssatz Personalnebenkosten in % </t>
  </si>
  <si>
    <t>Entscheidung von uns</t>
  </si>
  <si>
    <t>Training &amp; Einstellungen (MEUR)</t>
  </si>
  <si>
    <t>Pensionsrückstellungen (MEUR)</t>
  </si>
  <si>
    <t>Variable Fertigungskosten: Betriebsstoffe (MEUR)</t>
  </si>
  <si>
    <t>Variable Vertriebskosten: Transport (MEUR)</t>
  </si>
  <si>
    <t>Umweltabgabe (MEUR)</t>
  </si>
  <si>
    <t>Werbung Markt 1 (MEUR)</t>
  </si>
  <si>
    <t>Corporate Identity (MEUR)</t>
  </si>
  <si>
    <t>Ökologie (MEUR)</t>
  </si>
  <si>
    <t>Wertanalyse (MEUR)</t>
  </si>
  <si>
    <t>Stellschraube (Für Schätzungen oder Tests)</t>
  </si>
  <si>
    <t>Summe Kosten Abschreibungen</t>
  </si>
  <si>
    <t>Nacharbeit &amp; Ausschuss (MEUR)</t>
  </si>
  <si>
    <t>Lagerkosten</t>
  </si>
  <si>
    <t>PLAN-EBIT/Betriebsergebnis (MEUR)</t>
  </si>
  <si>
    <t>Generell News beachten!!</t>
  </si>
  <si>
    <t>Zuzüglich Pensionsrückstellungen (MEUR)</t>
  </si>
  <si>
    <t>20 % Forderungen werden jetzt beglichen</t>
  </si>
  <si>
    <t>Kreditaufnahme Langfristig NEU</t>
  </si>
  <si>
    <t>Personalkosten (ohne Pensionen)</t>
  </si>
  <si>
    <t>Sonstige Aufwendungen</t>
  </si>
  <si>
    <t>ERGEBNIS</t>
  </si>
  <si>
    <t>Einsatzstoffe (Einkauf)</t>
  </si>
  <si>
    <t>Einsatz- und Betriebsstoffe (Einkauf) Summe</t>
  </si>
  <si>
    <t>Betriebsstoffe (Einkauf)</t>
  </si>
  <si>
    <t>Geplante Einkaufsmenge Einsatzstoffe × Staffelpreis)</t>
  </si>
  <si>
    <t>Investitionen Umweltanlagen</t>
  </si>
  <si>
    <t>Kredit aus Vorperiode der zurückgezahlt werden muss</t>
  </si>
  <si>
    <t>Siehe Endbestand Liquiditätsrechnung letze Periode</t>
  </si>
  <si>
    <t>Lagerab oder Zugang</t>
  </si>
  <si>
    <t>Geplante Einkaufsmenge Einsatzstoffe × Staffelpreis</t>
  </si>
  <si>
    <t>3) Fertigungsbericht</t>
  </si>
  <si>
    <t>6) Personal -&gt; Zeile "= Personalendbestand". Basis für P4 vor Fluktuation und Einstellungen</t>
  </si>
  <si>
    <t>Tabelle "Löhne/Gehälter" in NEWS für Gehaltssatz</t>
  </si>
  <si>
    <t> Euer Umweltindex ist gut (96,99). Die Abgabe in P3 lag bei 0,67 MEUR. Du kannst für P4 großzügig ca. 0,60 bis 0,70 MEUR schätzen.</t>
  </si>
  <si>
    <t>Ohne die genauen P3-Kosten zu kennen, solltest du hier sicherheitshalber mit ca. 2,0 MEUR planen, vor allem wenn die Auslastung der Fertigung (P3: 98,6 %) weiterhin hoch bleibt.</t>
  </si>
  <si>
    <t>Plan-Personalbestand: Bestand Vorperiode  - 5 % Fluktuation + Geplante Neueinstellungen</t>
  </si>
  <si>
    <t>Summe aller Löhne/Gehälter (ohne PNK) × 5,0 %</t>
  </si>
  <si>
    <t>Lageranfangsbestand + Geplante Fertigung - Geplanter Absatz; (Lagerendbestand Fertigprodukte × 100 EUR) + (Lagerendbestand Einsatzstoffe × 15 EUR)</t>
  </si>
  <si>
    <t>Geplante Fertigungsmenge × Kosten pro Stück; Kosten pro Stück: Gen 1: ca. 46 EUR / Stück. Gen 2 (aus P3-News): exakt 40 EUR / Stück.</t>
  </si>
  <si>
    <t>(Geplanter Absatz Markt 1 × 25 EUR) + (Geplanter Absatz Markt 2 × 75 EUR)</t>
  </si>
  <si>
    <t>3) Fertigungsbericht, wird nur verändert bei Desinvestition oder Neukauf Anlagen</t>
  </si>
  <si>
    <t>(Fertigungsmenge - Absatzmenge) × Herstellkosten; Lagerabau (+) oder Zugang (-) &lt;- Kosten sind ein positiver Zahlenwert, somit muss es bei Lagerzugang negativ sein (Negative Kosten = Erlöse)</t>
  </si>
  <si>
    <t>Stellschraube (Für Schätzungen oder Tests) (Momentan Lagerbestand)</t>
  </si>
  <si>
    <t>Markt 1: Geplante Absatzmenge (Stück)</t>
  </si>
  <si>
    <t>Markt 1: Geplanter Preis (EUR/Stück)</t>
  </si>
  <si>
    <t>Markt 2: Geplante Absatzmenge (Stück)</t>
  </si>
  <si>
    <t>Markt 2: Geplanter Preis (EUR/Stück)</t>
  </si>
  <si>
    <r>
      <t xml:space="preserve">20 % Forderungen werden jetzt beglichen, 14) Bilanz -&gt; Aktiva: "Forderungen aus Lieferungen &amp; Leistungen", </t>
    </r>
    <r>
      <rPr>
        <sz val="11"/>
        <color rgb="FFFF0000"/>
        <rFont val="Calibri"/>
        <family val="2"/>
        <scheme val="minor"/>
      </rPr>
      <t>Markt 2 beachten</t>
    </r>
  </si>
  <si>
    <t>Umrechnung: Dies entspricht ca. 0,7 FCU pro 1 EUR: Hier: 2280/0,7=3257, 14</t>
  </si>
  <si>
    <t>Werbung Markt 2 (MEUR)</t>
  </si>
  <si>
    <t>Fertigung 450, F&amp;E 10, Vertrieb 50</t>
  </si>
  <si>
    <t>Investitionen Umweltanlagen plus neue Anlage</t>
  </si>
  <si>
    <t>Geplante Fertigungsmenge × Einkaufspreis</t>
  </si>
  <si>
    <t xml:space="preserve">Anzahl Neueinstellungen (gesamt) × 14.000 EUR + Training: Plan-Personalbestand Fertigung × Entscheidungs-Wert </t>
  </si>
  <si>
    <t>Von oben übernehmen, Lagerbestand Vorperiode beachten!! Differenz berechnen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</si>
</sst>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</cellStyleXfs>
  <cellXfs count="12">
    <xf numFmtId="0" fontId="0" fillId="0" borderId="0" xfId="0"/>
    <xf numFmtId="0" fontId="1" fillId="2" borderId="0" xfId="1"/>
    <xf numFmtId="0" fontId="3" fillId="3" borderId="0" xfId="2"/>
    <xf numFmtId="0" fontId="3" fillId="6" borderId="0" xfId="5" applyAlignment="1">
      <alignment horizontal="center"/>
    </xf>
    <xf numFmtId="0" fontId="2" fillId="5" borderId="0" xfId="4"/>
    <xf numFmtId="0" fontId="2" fillId="4" borderId="0" xfId="3"/>
    <xf numFmtId="0" fontId="3" fillId="7" borderId="0" xfId="6"/>
    <xf numFmtId="0" fontId="4" fillId="0" borderId="0" xfId="0" applyFont="1"/>
    <xf numFmtId="0" fontId="4" fillId="5" borderId="0" xfId="4" applyFont="1"/>
    <xf numFmtId="0" fontId="0" fillId="0" borderId="0" xfId="0" applyAlignment="1">
      <alignment wrapText="1"/>
    </xf>
    <xf numFmtId="3" fontId="2" fillId="5" borderId="0" xfId="4" applyNumberFormat="1"/>
    <xf numFmtId="0" fontId="6" fillId="0" borderId="0" xfId="0" applyFont="1"/>
  </cellXfs>
  <cellStyles count="7">
    <cellStyle name="60 % - Akzent1" xfId="3" builtinId="32"/>
    <cellStyle name="60 % - Akzent3" xfId="4" builtinId="40"/>
    <cellStyle name="Akzent1" xfId="2" builtinId="29"/>
    <cellStyle name="Akzent4" xfId="5" builtinId="41"/>
    <cellStyle name="Akzent5" xfId="6" builtinId="45"/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C56E-5420-43C2-95C0-1BF9EE488613}">
  <dimension ref="A1:CB92"/>
  <sheetViews>
    <sheetView zoomScale="130" zoomScaleNormal="130" workbookViewId="0">
      <selection activeCell="B74" sqref="B74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2</v>
      </c>
      <c r="B3" s="10">
        <v>45326</v>
      </c>
    </row>
    <row r="4" spans="1:80" x14ac:dyDescent="0.3">
      <c r="A4" s="4" t="s">
        <v>3</v>
      </c>
      <c r="B4" s="4">
        <v>3200</v>
      </c>
    </row>
    <row r="5" spans="1:80" x14ac:dyDescent="0.3">
      <c r="A5" s="5" t="s">
        <v>4</v>
      </c>
      <c r="B5" s="5">
        <f>B3*B4/1000000</f>
        <v>145.04320000000001</v>
      </c>
    </row>
    <row r="6" spans="1:80" s="6" customFormat="1" x14ac:dyDescent="0.3">
      <c r="A6" s="6" t="s">
        <v>77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</row>
    <row r="7" spans="1:80" x14ac:dyDescent="0.3">
      <c r="A7" s="4" t="s">
        <v>67</v>
      </c>
      <c r="B7" s="4">
        <v>23.65</v>
      </c>
      <c r="C7" t="s">
        <v>68</v>
      </c>
    </row>
    <row r="8" spans="1:80" x14ac:dyDescent="0.3">
      <c r="A8" s="4" t="s">
        <v>93</v>
      </c>
      <c r="B8" s="4">
        <v>2</v>
      </c>
    </row>
    <row r="9" spans="1:80" x14ac:dyDescent="0.3">
      <c r="A9" s="4" t="s">
        <v>94</v>
      </c>
      <c r="B9" s="4">
        <v>1.1299999999999999</v>
      </c>
    </row>
    <row r="10" spans="1:80" x14ac:dyDescent="0.3">
      <c r="A10" s="6" t="s">
        <v>79</v>
      </c>
      <c r="B10" s="6"/>
      <c r="C10" t="s">
        <v>69</v>
      </c>
    </row>
    <row r="11" spans="1:80" x14ac:dyDescent="0.3">
      <c r="A11" s="4" t="s">
        <v>70</v>
      </c>
      <c r="B11" s="4">
        <v>27.62</v>
      </c>
    </row>
    <row r="12" spans="1:80" x14ac:dyDescent="0.3">
      <c r="A12" s="4" t="s">
        <v>71</v>
      </c>
      <c r="B12" s="4">
        <v>6.29</v>
      </c>
    </row>
    <row r="13" spans="1:80" x14ac:dyDescent="0.3">
      <c r="A13" s="4" t="s">
        <v>72</v>
      </c>
      <c r="B13" s="4">
        <v>4.51</v>
      </c>
    </row>
    <row r="14" spans="1:80" x14ac:dyDescent="0.3">
      <c r="A14" s="4" t="s">
        <v>73</v>
      </c>
      <c r="B14" s="4">
        <v>3.15</v>
      </c>
    </row>
    <row r="15" spans="1:80" x14ac:dyDescent="0.3">
      <c r="A15" s="4" t="s">
        <v>74</v>
      </c>
      <c r="B15" s="4">
        <v>0.74</v>
      </c>
    </row>
    <row r="16" spans="1:80" x14ac:dyDescent="0.3">
      <c r="A16" s="4" t="s">
        <v>91</v>
      </c>
      <c r="B16" s="4">
        <v>2.6</v>
      </c>
    </row>
    <row r="17" spans="1:80" x14ac:dyDescent="0.3">
      <c r="A17" s="4" t="s">
        <v>92</v>
      </c>
      <c r="B17" s="4">
        <v>2.12</v>
      </c>
    </row>
    <row r="18" spans="1:80" s="6" customFormat="1" x14ac:dyDescent="0.3">
      <c r="A18" s="6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</row>
    <row r="19" spans="1:80" x14ac:dyDescent="0.3">
      <c r="A19" s="4" t="s">
        <v>89</v>
      </c>
      <c r="B19" s="4">
        <v>40</v>
      </c>
      <c r="C19" t="s">
        <v>90</v>
      </c>
    </row>
    <row r="20" spans="1:80" x14ac:dyDescent="0.3">
      <c r="A20" s="5" t="s">
        <v>75</v>
      </c>
      <c r="B20" s="5">
        <f>ROUNDUP(SUM(B11:B15)*(B19/100),2)</f>
        <v>16.930000000000003</v>
      </c>
    </row>
    <row r="21" spans="1:80" s="6" customFormat="1" x14ac:dyDescent="0.3">
      <c r="A21" s="6" t="s">
        <v>80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</row>
    <row r="22" spans="1:80" x14ac:dyDescent="0.3">
      <c r="A22" s="4" t="s">
        <v>86</v>
      </c>
      <c r="B22" s="4">
        <v>5.5</v>
      </c>
    </row>
    <row r="23" spans="1:80" x14ac:dyDescent="0.3">
      <c r="A23" s="4" t="s">
        <v>76</v>
      </c>
      <c r="B23" s="4">
        <v>0.65</v>
      </c>
    </row>
    <row r="24" spans="1:80" x14ac:dyDescent="0.3">
      <c r="A24" s="1" t="s">
        <v>10</v>
      </c>
      <c r="B24" s="1">
        <v>0.25</v>
      </c>
    </row>
    <row r="25" spans="1:80" x14ac:dyDescent="0.3">
      <c r="A25" s="5" t="s">
        <v>101</v>
      </c>
      <c r="B25" s="5">
        <f>SUM(B22:B24)</f>
        <v>6.4</v>
      </c>
    </row>
    <row r="26" spans="1:80" s="4" customFormat="1" x14ac:dyDescent="0.3">
      <c r="A26" s="6" t="s">
        <v>81</v>
      </c>
      <c r="B26" s="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</row>
    <row r="27" spans="1:80" x14ac:dyDescent="0.3">
      <c r="A27" s="4" t="s">
        <v>82</v>
      </c>
      <c r="B27" s="4">
        <v>3.25</v>
      </c>
    </row>
    <row r="28" spans="1:80" x14ac:dyDescent="0.3">
      <c r="A28" s="4" t="s">
        <v>83</v>
      </c>
      <c r="B28" s="4">
        <v>7</v>
      </c>
    </row>
    <row r="29" spans="1:80" x14ac:dyDescent="0.3">
      <c r="A29" s="4" t="s">
        <v>87</v>
      </c>
      <c r="B29" s="4">
        <v>2</v>
      </c>
    </row>
    <row r="30" spans="1:80" x14ac:dyDescent="0.3">
      <c r="A30" s="4" t="s">
        <v>95</v>
      </c>
      <c r="B30" s="4">
        <v>0.8</v>
      </c>
    </row>
    <row r="31" spans="1:80" x14ac:dyDescent="0.3">
      <c r="A31" s="4" t="s">
        <v>102</v>
      </c>
      <c r="B31" s="4">
        <v>1.78</v>
      </c>
    </row>
    <row r="32" spans="1:80" x14ac:dyDescent="0.3">
      <c r="A32" s="4" t="s">
        <v>103</v>
      </c>
      <c r="B32" s="4">
        <v>0.48</v>
      </c>
    </row>
    <row r="33" spans="1:3" x14ac:dyDescent="0.3">
      <c r="A33" s="6" t="s">
        <v>88</v>
      </c>
      <c r="B33" s="6"/>
    </row>
    <row r="34" spans="1:3" x14ac:dyDescent="0.3">
      <c r="A34" s="4" t="s">
        <v>96</v>
      </c>
      <c r="B34" s="4">
        <v>8</v>
      </c>
    </row>
    <row r="35" spans="1:3" x14ac:dyDescent="0.3">
      <c r="A35" s="4" t="s">
        <v>97</v>
      </c>
      <c r="B35" s="4">
        <v>3.5</v>
      </c>
    </row>
    <row r="36" spans="1:3" x14ac:dyDescent="0.3">
      <c r="A36" s="4" t="s">
        <v>98</v>
      </c>
      <c r="B36" s="4">
        <v>2.5</v>
      </c>
    </row>
    <row r="37" spans="1:3" x14ac:dyDescent="0.3">
      <c r="A37" s="4" t="s">
        <v>99</v>
      </c>
      <c r="B37" s="4">
        <v>1</v>
      </c>
    </row>
    <row r="38" spans="1:3" x14ac:dyDescent="0.3">
      <c r="A38" s="1" t="s">
        <v>100</v>
      </c>
      <c r="B38" s="1">
        <v>3.88</v>
      </c>
    </row>
    <row r="39" spans="1:3" x14ac:dyDescent="0.3">
      <c r="A39" s="5" t="s">
        <v>85</v>
      </c>
      <c r="B39" s="5">
        <f>-SUM(B7:B9,(B11:B17),B20,B25,(B27:B32),B34:B38)</f>
        <v>-131.33000000000001</v>
      </c>
    </row>
    <row r="40" spans="1:3" x14ac:dyDescent="0.3">
      <c r="A40" s="6" t="s">
        <v>84</v>
      </c>
      <c r="B40" s="6"/>
    </row>
    <row r="41" spans="1:3" x14ac:dyDescent="0.3">
      <c r="A41" s="5" t="s">
        <v>104</v>
      </c>
      <c r="B41" s="5">
        <f>ROUNDUP(SUM(B5,B39),2)</f>
        <v>13.72</v>
      </c>
    </row>
    <row r="42" spans="1:3" x14ac:dyDescent="0.3">
      <c r="A42" s="4" t="s">
        <v>13</v>
      </c>
      <c r="B42" s="4">
        <v>6</v>
      </c>
      <c r="C42" s="7" t="s">
        <v>65</v>
      </c>
    </row>
    <row r="43" spans="1:3" x14ac:dyDescent="0.3">
      <c r="A43" s="4" t="s">
        <v>14</v>
      </c>
      <c r="B43" s="4">
        <v>6.5</v>
      </c>
      <c r="C43" s="7" t="s">
        <v>105</v>
      </c>
    </row>
    <row r="44" spans="1:3" x14ac:dyDescent="0.3">
      <c r="A44" s="4" t="s">
        <v>15</v>
      </c>
      <c r="B44" s="4">
        <v>5</v>
      </c>
    </row>
    <row r="45" spans="1:3" x14ac:dyDescent="0.3">
      <c r="A45" s="4" t="s">
        <v>66</v>
      </c>
      <c r="B45" s="4">
        <v>12</v>
      </c>
    </row>
    <row r="46" spans="1:3" x14ac:dyDescent="0.3">
      <c r="A46" s="5" t="s">
        <v>17</v>
      </c>
      <c r="B46" s="5">
        <f>-(B44*(B42/100) + B45*(B43/100))</f>
        <v>-1.08</v>
      </c>
    </row>
    <row r="47" spans="1:3" x14ac:dyDescent="0.3">
      <c r="A47" s="5" t="s">
        <v>18</v>
      </c>
      <c r="B47" s="5">
        <f>B41+B46</f>
        <v>12.64</v>
      </c>
    </row>
    <row r="48" spans="1:3" x14ac:dyDescent="0.3">
      <c r="A48" s="4" t="s">
        <v>19</v>
      </c>
      <c r="B48" s="4">
        <v>0</v>
      </c>
    </row>
    <row r="49" spans="1:2" x14ac:dyDescent="0.3">
      <c r="A49" s="5" t="s">
        <v>20</v>
      </c>
      <c r="B49" s="5">
        <f>MAX(0, B47-B48)</f>
        <v>12.64</v>
      </c>
    </row>
    <row r="50" spans="1:2" x14ac:dyDescent="0.3">
      <c r="A50" s="1" t="s">
        <v>21</v>
      </c>
      <c r="B50" s="1">
        <v>45</v>
      </c>
    </row>
    <row r="51" spans="1:2" x14ac:dyDescent="0.3">
      <c r="A51" s="5" t="s">
        <v>22</v>
      </c>
      <c r="B51" s="5">
        <f>ROUNDUP(-B49*(B50/100),2)</f>
        <v>-5.6899999999999995</v>
      </c>
    </row>
    <row r="52" spans="1:2" x14ac:dyDescent="0.3">
      <c r="A52" s="5" t="s">
        <v>23</v>
      </c>
      <c r="B52" s="5">
        <f>B47+B51</f>
        <v>6.9500000000000011</v>
      </c>
    </row>
    <row r="54" spans="1:2" x14ac:dyDescent="0.3">
      <c r="A54" s="2" t="s">
        <v>24</v>
      </c>
      <c r="B54" s="2"/>
    </row>
    <row r="55" spans="1:2" x14ac:dyDescent="0.3">
      <c r="A55" s="4" t="s">
        <v>25</v>
      </c>
      <c r="B55" s="4">
        <v>35.03</v>
      </c>
    </row>
    <row r="56" spans="1:2" x14ac:dyDescent="0.3">
      <c r="A56" s="4" t="s">
        <v>26</v>
      </c>
      <c r="B56" s="4">
        <v>-1</v>
      </c>
    </row>
    <row r="57" spans="1:2" x14ac:dyDescent="0.3">
      <c r="A57" s="5" t="s">
        <v>27</v>
      </c>
      <c r="B57" s="5">
        <f>B55+B56+B52</f>
        <v>40.980000000000004</v>
      </c>
    </row>
    <row r="58" spans="1:2" x14ac:dyDescent="0.3">
      <c r="A58" s="5" t="s">
        <v>28</v>
      </c>
      <c r="B58" s="5">
        <f>(B52/B55)*100</f>
        <v>19.840137025406797</v>
      </c>
    </row>
    <row r="60" spans="1:2" x14ac:dyDescent="0.3">
      <c r="A60" s="2" t="s">
        <v>29</v>
      </c>
      <c r="B60" s="2"/>
    </row>
    <row r="61" spans="1:2" x14ac:dyDescent="0.3">
      <c r="A61" s="5" t="s">
        <v>30</v>
      </c>
      <c r="B61" s="5">
        <f>B52</f>
        <v>6.9500000000000011</v>
      </c>
    </row>
    <row r="62" spans="1:2" x14ac:dyDescent="0.3">
      <c r="A62" s="5" t="s">
        <v>31</v>
      </c>
      <c r="B62" s="5">
        <f>B25</f>
        <v>6.4</v>
      </c>
    </row>
    <row r="63" spans="1:2" x14ac:dyDescent="0.3">
      <c r="A63" s="5" t="s">
        <v>106</v>
      </c>
      <c r="B63" s="5">
        <f>B17</f>
        <v>2.12</v>
      </c>
    </row>
    <row r="64" spans="1:2" x14ac:dyDescent="0.3">
      <c r="A64" s="5" t="s">
        <v>33</v>
      </c>
      <c r="B64" s="5">
        <f>B61+B62+B63</f>
        <v>15.470000000000002</v>
      </c>
    </row>
    <row r="65" spans="1:3" x14ac:dyDescent="0.3">
      <c r="A65" s="4" t="s">
        <v>63</v>
      </c>
      <c r="B65" s="4">
        <v>26.72</v>
      </c>
    </row>
    <row r="66" spans="1:3" x14ac:dyDescent="0.3">
      <c r="A66" s="5" t="s">
        <v>34</v>
      </c>
      <c r="B66" s="5">
        <f>ROUNDUP(-(B5*0.2-B65),2)</f>
        <v>-2.2899999999999996</v>
      </c>
    </row>
    <row r="67" spans="1:3" x14ac:dyDescent="0.3">
      <c r="A67" s="4" t="s">
        <v>35</v>
      </c>
      <c r="B67" s="4">
        <f>4.56</f>
        <v>4.5599999999999996</v>
      </c>
      <c r="C67" t="s">
        <v>64</v>
      </c>
    </row>
    <row r="68" spans="1:3" x14ac:dyDescent="0.3">
      <c r="A68" s="5" t="s">
        <v>36</v>
      </c>
      <c r="B68" s="5">
        <f>B64+B66+B67</f>
        <v>17.740000000000002</v>
      </c>
    </row>
    <row r="70" spans="1:3" x14ac:dyDescent="0.3">
      <c r="A70" s="2" t="s">
        <v>37</v>
      </c>
      <c r="B70" s="2"/>
    </row>
    <row r="71" spans="1:3" x14ac:dyDescent="0.3">
      <c r="A71" s="6" t="s">
        <v>38</v>
      </c>
      <c r="B71" s="6"/>
    </row>
    <row r="72" spans="1:3" x14ac:dyDescent="0.3">
      <c r="A72" s="5" t="s">
        <v>39</v>
      </c>
      <c r="B72" s="5">
        <f>B5*0.8</f>
        <v>116.03456000000001</v>
      </c>
    </row>
    <row r="73" spans="1:3" x14ac:dyDescent="0.3">
      <c r="A73" s="4" t="s">
        <v>40</v>
      </c>
      <c r="B73" s="4">
        <v>26.72</v>
      </c>
      <c r="C73" t="s">
        <v>107</v>
      </c>
    </row>
    <row r="74" spans="1:3" x14ac:dyDescent="0.3">
      <c r="A74" s="4" t="s">
        <v>108</v>
      </c>
      <c r="B74" s="4">
        <v>0</v>
      </c>
    </row>
    <row r="75" spans="1:3" x14ac:dyDescent="0.3">
      <c r="A75" s="5" t="s">
        <v>61</v>
      </c>
      <c r="B75" s="5">
        <f>B74+B45</f>
        <v>12</v>
      </c>
    </row>
    <row r="76" spans="1:3" x14ac:dyDescent="0.3">
      <c r="A76" s="5" t="s">
        <v>42</v>
      </c>
      <c r="B76" s="5">
        <f>B72+B73+B75</f>
        <v>154.75456000000003</v>
      </c>
    </row>
    <row r="77" spans="1:3" x14ac:dyDescent="0.3">
      <c r="A77" s="6" t="s">
        <v>43</v>
      </c>
      <c r="B77" s="6"/>
    </row>
    <row r="78" spans="1:3" x14ac:dyDescent="0.3">
      <c r="A78" s="4" t="s">
        <v>112</v>
      </c>
      <c r="B78" s="4">
        <v>22.96</v>
      </c>
      <c r="C78" t="s">
        <v>115</v>
      </c>
    </row>
    <row r="79" spans="1:3" x14ac:dyDescent="0.3">
      <c r="A79" s="5" t="s">
        <v>114</v>
      </c>
      <c r="B79" s="5">
        <f>B8</f>
        <v>2</v>
      </c>
    </row>
    <row r="80" spans="1:3" x14ac:dyDescent="0.3">
      <c r="A80" s="5" t="s">
        <v>113</v>
      </c>
      <c r="B80" s="5">
        <f>SUM(B78:B79)</f>
        <v>24.96</v>
      </c>
    </row>
    <row r="81" spans="1:3" x14ac:dyDescent="0.3">
      <c r="A81" s="5" t="s">
        <v>109</v>
      </c>
      <c r="B81" s="5">
        <f>SUM(B11:B16,B20)</f>
        <v>61.84</v>
      </c>
    </row>
    <row r="82" spans="1:3" x14ac:dyDescent="0.3">
      <c r="A82" s="5" t="s">
        <v>110</v>
      </c>
      <c r="B82" s="5">
        <f>SUM(B27:B32,B34:B37,B9)</f>
        <v>31.44</v>
      </c>
    </row>
    <row r="83" spans="1:3" x14ac:dyDescent="0.3">
      <c r="A83" s="5" t="s">
        <v>47</v>
      </c>
      <c r="B83" s="5">
        <f>-B46</f>
        <v>1.08</v>
      </c>
    </row>
    <row r="84" spans="1:3" x14ac:dyDescent="0.3">
      <c r="A84" s="5" t="s">
        <v>48</v>
      </c>
      <c r="B84" s="5">
        <f>-B51</f>
        <v>5.6899999999999995</v>
      </c>
    </row>
    <row r="85" spans="1:3" x14ac:dyDescent="0.3">
      <c r="A85" s="4" t="s">
        <v>49</v>
      </c>
      <c r="B85" s="4">
        <v>2.5</v>
      </c>
      <c r="C85" t="s">
        <v>116</v>
      </c>
    </row>
    <row r="86" spans="1:3" x14ac:dyDescent="0.3">
      <c r="A86" s="4" t="s">
        <v>50</v>
      </c>
      <c r="B86" s="4">
        <v>17</v>
      </c>
      <c r="C86" t="s">
        <v>117</v>
      </c>
    </row>
    <row r="87" spans="1:3" x14ac:dyDescent="0.3">
      <c r="A87" s="5" t="s">
        <v>51</v>
      </c>
      <c r="B87" s="5">
        <f>-B56</f>
        <v>1</v>
      </c>
    </row>
    <row r="88" spans="1:3" x14ac:dyDescent="0.3">
      <c r="A88" s="5" t="s">
        <v>52</v>
      </c>
      <c r="B88" s="5">
        <f>SUM(B80:B87)</f>
        <v>145.51</v>
      </c>
    </row>
    <row r="89" spans="1:3" x14ac:dyDescent="0.3">
      <c r="A89" s="6" t="s">
        <v>111</v>
      </c>
      <c r="B89" s="6"/>
    </row>
    <row r="90" spans="1:3" x14ac:dyDescent="0.3">
      <c r="A90" s="5" t="s">
        <v>53</v>
      </c>
      <c r="B90" s="5">
        <f>B76-B88</f>
        <v>9.2445600000000354</v>
      </c>
    </row>
    <row r="91" spans="1:3" x14ac:dyDescent="0.3">
      <c r="A91" s="4" t="s">
        <v>54</v>
      </c>
      <c r="B91" s="4">
        <v>10.1</v>
      </c>
      <c r="C91" t="s">
        <v>118</v>
      </c>
    </row>
    <row r="92" spans="1:3" x14ac:dyDescent="0.3">
      <c r="A92" s="5" t="s">
        <v>55</v>
      </c>
      <c r="B92" s="5">
        <f>B90+B91</f>
        <v>19.344560000000037</v>
      </c>
    </row>
  </sheetData>
  <pageMargins left="0.75" right="0.75" top="1" bottom="1" header="0.5" footer="0.5"/>
  <pageSetup paperSize="9" orientation="portrait" horizontalDpi="4294967293" verticalDpi="4294967293" r:id="rId1"/>
  <ignoredErrors>
    <ignoredError sqref="B20 B81:B8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10" zoomScale="115" zoomScaleNormal="115" workbookViewId="0">
      <selection activeCell="B31" sqref="B31"/>
    </sheetView>
  </sheetViews>
  <sheetFormatPr baseColWidth="10" defaultColWidth="8.88671875" defaultRowHeight="14.4" x14ac:dyDescent="0.3"/>
  <cols>
    <col min="1" max="1" width="65" customWidth="1"/>
    <col min="2" max="2" width="25" customWidth="1"/>
  </cols>
  <sheetData>
    <row r="1" spans="1:3" x14ac:dyDescent="0.3">
      <c r="A1" s="3" t="s">
        <v>0</v>
      </c>
      <c r="B1" s="3" t="s">
        <v>56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43000</v>
      </c>
    </row>
    <row r="4" spans="1:3" x14ac:dyDescent="0.3">
      <c r="A4" s="4" t="s">
        <v>3</v>
      </c>
      <c r="B4" s="4">
        <v>3150</v>
      </c>
    </row>
    <row r="5" spans="1:3" x14ac:dyDescent="0.3">
      <c r="A5" s="5" t="s">
        <v>4</v>
      </c>
      <c r="B5" s="5">
        <f>B3*B4/1000000</f>
        <v>135.44999999999999</v>
      </c>
    </row>
    <row r="6" spans="1:3" x14ac:dyDescent="0.3">
      <c r="A6" s="4" t="s">
        <v>5</v>
      </c>
      <c r="B6" s="4">
        <v>-98</v>
      </c>
      <c r="C6" s="4">
        <v>-38.96</v>
      </c>
    </row>
    <row r="7" spans="1:3" x14ac:dyDescent="0.3">
      <c r="A7" s="4" t="s">
        <v>6</v>
      </c>
      <c r="B7" s="4">
        <v>-5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-8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7.4499999999999886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3" x14ac:dyDescent="0.3">
      <c r="A17" s="4" t="s">
        <v>16</v>
      </c>
      <c r="B17" s="4">
        <v>17</v>
      </c>
    </row>
    <row r="18" spans="1:3" x14ac:dyDescent="0.3">
      <c r="A18" s="5" t="s">
        <v>17</v>
      </c>
      <c r="B18" s="5">
        <f>-(B16*(B14/100) + B17*(B15/100))</f>
        <v>-1.7100000000000002</v>
      </c>
    </row>
    <row r="19" spans="1:3" x14ac:dyDescent="0.3">
      <c r="A19" s="5" t="s">
        <v>18</v>
      </c>
      <c r="B19" s="5">
        <f>B13+B18</f>
        <v>5.7399999999999887</v>
      </c>
    </row>
    <row r="20" spans="1:3" x14ac:dyDescent="0.3">
      <c r="A20" s="4" t="s">
        <v>19</v>
      </c>
      <c r="B20" s="8">
        <v>0</v>
      </c>
      <c r="C20" s="7" t="s">
        <v>59</v>
      </c>
    </row>
    <row r="21" spans="1:3" x14ac:dyDescent="0.3">
      <c r="A21" s="5" t="s">
        <v>20</v>
      </c>
      <c r="B21" s="5">
        <f>MAX(0, B19-B20)</f>
        <v>5.7399999999999887</v>
      </c>
    </row>
    <row r="22" spans="1:3" x14ac:dyDescent="0.3">
      <c r="A22" s="1" t="s">
        <v>21</v>
      </c>
      <c r="B22" s="1">
        <v>45</v>
      </c>
    </row>
    <row r="23" spans="1:3" x14ac:dyDescent="0.3">
      <c r="A23" s="5" t="s">
        <v>22</v>
      </c>
      <c r="B23" s="5">
        <f>-B21*(B22/100)</f>
        <v>-2.5829999999999949</v>
      </c>
    </row>
    <row r="24" spans="1:3" x14ac:dyDescent="0.3">
      <c r="A24" s="5" t="s">
        <v>23</v>
      </c>
      <c r="B24" s="5">
        <f>B19+B23</f>
        <v>3.1569999999999938</v>
      </c>
    </row>
    <row r="26" spans="1:3" x14ac:dyDescent="0.3">
      <c r="A26" s="2" t="s">
        <v>24</v>
      </c>
      <c r="B26" s="2"/>
    </row>
    <row r="27" spans="1:3" x14ac:dyDescent="0.3">
      <c r="A27" s="4" t="s">
        <v>25</v>
      </c>
      <c r="B27" s="4">
        <v>31.27</v>
      </c>
    </row>
    <row r="28" spans="1:3" x14ac:dyDescent="0.3">
      <c r="A28" s="4" t="s">
        <v>26</v>
      </c>
      <c r="B28" s="4">
        <v>-1</v>
      </c>
    </row>
    <row r="29" spans="1:3" x14ac:dyDescent="0.3">
      <c r="A29" s="5" t="s">
        <v>27</v>
      </c>
      <c r="B29" s="5">
        <f>B27+B28+B24</f>
        <v>33.426999999999992</v>
      </c>
    </row>
    <row r="30" spans="1:3" x14ac:dyDescent="0.3">
      <c r="A30" s="5" t="s">
        <v>28</v>
      </c>
      <c r="B30" s="5">
        <f>(B24/B29)*100</f>
        <v>9.4444610644089941</v>
      </c>
    </row>
    <row r="32" spans="1:3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3.1569999999999938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</v>
      </c>
    </row>
    <row r="36" spans="1:3" x14ac:dyDescent="0.3">
      <c r="A36" s="5" t="s">
        <v>33</v>
      </c>
      <c r="B36" s="5">
        <f>B33+B34+B35</f>
        <v>12.156999999999993</v>
      </c>
    </row>
    <row r="37" spans="1:3" x14ac:dyDescent="0.3">
      <c r="A37" s="4" t="s">
        <v>34</v>
      </c>
      <c r="B37" s="4">
        <f>25.8-27.09</f>
        <v>-1.2899999999999991</v>
      </c>
      <c r="C37" t="s">
        <v>57</v>
      </c>
    </row>
    <row r="38" spans="1:3" x14ac:dyDescent="0.3">
      <c r="A38" s="4" t="s">
        <v>35</v>
      </c>
      <c r="B38" s="4">
        <f>(7.91-7.15)+0</f>
        <v>0.75999999999999979</v>
      </c>
      <c r="C38" t="s">
        <v>58</v>
      </c>
    </row>
    <row r="39" spans="1:3" x14ac:dyDescent="0.3">
      <c r="A39" s="5" t="s">
        <v>36</v>
      </c>
      <c r="B39" s="5">
        <f>B36+B37+B38</f>
        <v>11.626999999999994</v>
      </c>
    </row>
    <row r="41" spans="1:3" x14ac:dyDescent="0.3">
      <c r="A41" s="2" t="s">
        <v>37</v>
      </c>
      <c r="B41" s="2"/>
    </row>
    <row r="42" spans="1:3" x14ac:dyDescent="0.3">
      <c r="A42" s="6" t="s">
        <v>38</v>
      </c>
      <c r="B42" s="6"/>
    </row>
    <row r="43" spans="1:3" x14ac:dyDescent="0.3">
      <c r="A43" s="5" t="s">
        <v>39</v>
      </c>
      <c r="B43" s="5">
        <f>B5*0.8</f>
        <v>108.36</v>
      </c>
    </row>
    <row r="44" spans="1:3" x14ac:dyDescent="0.3">
      <c r="A44" s="4" t="s">
        <v>40</v>
      </c>
      <c r="B44" s="4">
        <v>25.8</v>
      </c>
    </row>
    <row r="45" spans="1:3" x14ac:dyDescent="0.3">
      <c r="A45" s="4" t="s">
        <v>41</v>
      </c>
      <c r="B45" s="4">
        <v>22</v>
      </c>
    </row>
    <row r="46" spans="1:3" x14ac:dyDescent="0.3">
      <c r="A46" s="5" t="s">
        <v>42</v>
      </c>
      <c r="B46" s="5">
        <f>SUM(B43:B45)</f>
        <v>156.16</v>
      </c>
    </row>
    <row r="48" spans="1:3" x14ac:dyDescent="0.3">
      <c r="A48" s="6" t="s">
        <v>43</v>
      </c>
      <c r="B48" s="6"/>
    </row>
    <row r="49" spans="1:2" x14ac:dyDescent="0.3">
      <c r="A49" s="5" t="s">
        <v>44</v>
      </c>
      <c r="B49" s="5">
        <f>-B6</f>
        <v>98</v>
      </c>
    </row>
    <row r="50" spans="1:2" x14ac:dyDescent="0.3">
      <c r="A50" s="5" t="s">
        <v>45</v>
      </c>
      <c r="B50" s="5">
        <f>-B7</f>
        <v>5</v>
      </c>
    </row>
    <row r="51" spans="1:2" x14ac:dyDescent="0.3">
      <c r="A51" s="5" t="s">
        <v>46</v>
      </c>
      <c r="B51" s="5">
        <f>-(B8+B9)</f>
        <v>18</v>
      </c>
    </row>
    <row r="52" spans="1:2" x14ac:dyDescent="0.3">
      <c r="A52" s="5" t="s">
        <v>47</v>
      </c>
      <c r="B52" s="5">
        <f>-B18</f>
        <v>1.7100000000000002</v>
      </c>
    </row>
    <row r="53" spans="1:2" x14ac:dyDescent="0.3">
      <c r="A53" s="5" t="s">
        <v>48</v>
      </c>
      <c r="B53" s="5">
        <f>-B23</f>
        <v>2.5829999999999949</v>
      </c>
    </row>
    <row r="54" spans="1:2" x14ac:dyDescent="0.3">
      <c r="A54" s="4" t="s">
        <v>49</v>
      </c>
      <c r="B54" s="4">
        <v>0</v>
      </c>
    </row>
    <row r="55" spans="1:2" x14ac:dyDescent="0.3">
      <c r="A55" s="4" t="s">
        <v>50</v>
      </c>
      <c r="B55" s="4">
        <v>27</v>
      </c>
    </row>
    <row r="56" spans="1:2" x14ac:dyDescent="0.3">
      <c r="A56" s="5" t="s">
        <v>51</v>
      </c>
      <c r="B56" s="5">
        <f>-B28</f>
        <v>1</v>
      </c>
    </row>
    <row r="57" spans="1:2" x14ac:dyDescent="0.3">
      <c r="A57" s="5" t="s">
        <v>52</v>
      </c>
      <c r="B57" s="5">
        <f>SUM(B49:B56)</f>
        <v>153.29300000000001</v>
      </c>
    </row>
    <row r="59" spans="1:2" x14ac:dyDescent="0.3">
      <c r="A59" s="5" t="s">
        <v>53</v>
      </c>
      <c r="B59" s="5">
        <f>B46-B57</f>
        <v>2.8669999999999902</v>
      </c>
    </row>
    <row r="60" spans="1:2" x14ac:dyDescent="0.3">
      <c r="A60" s="4" t="s">
        <v>54</v>
      </c>
      <c r="B60" s="4">
        <v>11.26</v>
      </c>
    </row>
    <row r="61" spans="1:2" x14ac:dyDescent="0.3">
      <c r="A61" s="5" t="s">
        <v>55</v>
      </c>
      <c r="B61" s="5">
        <f>B59+B60</f>
        <v>14.12699999999999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0D53-6421-4BCC-8263-1590D4CFD838}">
  <dimension ref="A1:C63"/>
  <sheetViews>
    <sheetView zoomScale="115" zoomScaleNormal="115" workbookViewId="0">
      <selection activeCell="B39" sqref="B3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11.300000000000004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-1.31</v>
      </c>
    </row>
    <row r="19" spans="1:2" x14ac:dyDescent="0.3">
      <c r="A19" s="5" t="s">
        <v>18</v>
      </c>
      <c r="B19" s="5">
        <f>B13+B18</f>
        <v>9.9900000000000038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9.9900000000000038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-4.4955000000000016</v>
      </c>
    </row>
    <row r="24" spans="1:2" x14ac:dyDescent="0.3">
      <c r="A24" s="5" t="s">
        <v>23</v>
      </c>
      <c r="B24" s="5">
        <f>B19+B23</f>
        <v>5.4945000000000022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35.03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39.524500000000003</v>
      </c>
    </row>
    <row r="30" spans="1:2" x14ac:dyDescent="0.3">
      <c r="A30" s="5" t="s">
        <v>28</v>
      </c>
      <c r="B30" s="5">
        <f>(B24/B29)*100</f>
        <v>13.901504130349535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5.4945000000000022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14.694500000000001</v>
      </c>
    </row>
    <row r="37" spans="1:3" x14ac:dyDescent="0.3">
      <c r="A37" s="4" t="s">
        <v>63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64</v>
      </c>
    </row>
    <row r="40" spans="1:3" x14ac:dyDescent="0.3">
      <c r="A40" s="5" t="s">
        <v>36</v>
      </c>
      <c r="B40" s="5">
        <f>B36+B38+B39</f>
        <v>22.854500000000005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62</v>
      </c>
      <c r="B46" s="4">
        <v>0</v>
      </c>
    </row>
    <row r="47" spans="1:3" x14ac:dyDescent="0.3">
      <c r="A47" s="4" t="s">
        <v>61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50" spans="1:2" x14ac:dyDescent="0.3">
      <c r="A50" s="6" t="s">
        <v>43</v>
      </c>
      <c r="B50" s="6"/>
    </row>
    <row r="51" spans="1:2" x14ac:dyDescent="0.3">
      <c r="A51" s="5" t="s">
        <v>44</v>
      </c>
      <c r="B51" s="5">
        <f>-B6</f>
        <v>95</v>
      </c>
    </row>
    <row r="52" spans="1:2" x14ac:dyDescent="0.3">
      <c r="A52" s="5" t="s">
        <v>45</v>
      </c>
      <c r="B52" s="5">
        <f>-B7</f>
        <v>7.1</v>
      </c>
    </row>
    <row r="53" spans="1:2" x14ac:dyDescent="0.3">
      <c r="A53" s="5" t="s">
        <v>46</v>
      </c>
      <c r="B53" s="5">
        <f>-(B8+B9)</f>
        <v>30</v>
      </c>
    </row>
    <row r="54" spans="1:2" x14ac:dyDescent="0.3">
      <c r="A54" s="5" t="s">
        <v>47</v>
      </c>
      <c r="B54" s="5">
        <f>-B18</f>
        <v>1.31</v>
      </c>
    </row>
    <row r="55" spans="1:2" x14ac:dyDescent="0.3">
      <c r="A55" s="5" t="s">
        <v>48</v>
      </c>
      <c r="B55" s="5">
        <f>-B23</f>
        <v>4.4955000000000016</v>
      </c>
    </row>
    <row r="56" spans="1:2" x14ac:dyDescent="0.3">
      <c r="A56" s="4" t="s">
        <v>49</v>
      </c>
      <c r="B56" s="4">
        <v>0</v>
      </c>
    </row>
    <row r="57" spans="1:2" x14ac:dyDescent="0.3">
      <c r="A57" s="4" t="s">
        <v>50</v>
      </c>
      <c r="B57" s="4">
        <v>17</v>
      </c>
    </row>
    <row r="58" spans="1:2" x14ac:dyDescent="0.3">
      <c r="A58" s="5" t="s">
        <v>51</v>
      </c>
      <c r="B58" s="5">
        <f>-B28</f>
        <v>1</v>
      </c>
    </row>
    <row r="59" spans="1:2" x14ac:dyDescent="0.3">
      <c r="A59" s="5" t="s">
        <v>52</v>
      </c>
      <c r="B59" s="5">
        <f>SUM(B51:B58)</f>
        <v>155.90549999999999</v>
      </c>
    </row>
    <row r="61" spans="1:2" x14ac:dyDescent="0.3">
      <c r="A61" s="5" t="s">
        <v>53</v>
      </c>
      <c r="B61" s="5">
        <f>B48-B59</f>
        <v>2.2145000000000152</v>
      </c>
    </row>
    <row r="62" spans="1:2" x14ac:dyDescent="0.3">
      <c r="A62" s="4" t="s">
        <v>54</v>
      </c>
      <c r="B62" s="4">
        <v>11.26</v>
      </c>
    </row>
    <row r="63" spans="1:2" x14ac:dyDescent="0.3">
      <c r="A63" s="5" t="s">
        <v>55</v>
      </c>
      <c r="B63" s="5">
        <f>B61+B62</f>
        <v>13.474500000000015</v>
      </c>
    </row>
  </sheetData>
  <phoneticPr fontId="5" type="noConversion"/>
  <pageMargins left="0.75" right="0.75" top="1" bottom="1" header="0.5" footer="0.5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56088-4FC0-428D-AFAB-E77B08EE9E82}">
  <dimension ref="A1:CB92"/>
  <sheetViews>
    <sheetView zoomScale="130" zoomScaleNormal="130" workbookViewId="0">
      <selection activeCell="A95" sqref="A95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2</v>
      </c>
      <c r="B3" s="10">
        <v>45326</v>
      </c>
    </row>
    <row r="4" spans="1:80" x14ac:dyDescent="0.3">
      <c r="A4" s="4" t="s">
        <v>3</v>
      </c>
      <c r="B4" s="4">
        <v>3200</v>
      </c>
    </row>
    <row r="5" spans="1:80" x14ac:dyDescent="0.3">
      <c r="A5" s="5" t="s">
        <v>4</v>
      </c>
      <c r="B5" s="5">
        <f>B3*B4/1000000</f>
        <v>145.04320000000001</v>
      </c>
    </row>
    <row r="6" spans="1:80" s="6" customFormat="1" x14ac:dyDescent="0.3">
      <c r="A6" s="6" t="s">
        <v>77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</row>
    <row r="7" spans="1:80" x14ac:dyDescent="0.3">
      <c r="A7" s="4" t="s">
        <v>67</v>
      </c>
      <c r="B7" s="4">
        <v>23.65</v>
      </c>
      <c r="C7" t="s">
        <v>68</v>
      </c>
    </row>
    <row r="8" spans="1:80" x14ac:dyDescent="0.3">
      <c r="A8" s="4" t="s">
        <v>93</v>
      </c>
      <c r="B8" s="4">
        <v>2</v>
      </c>
    </row>
    <row r="9" spans="1:80" x14ac:dyDescent="0.3">
      <c r="A9" s="4" t="s">
        <v>94</v>
      </c>
      <c r="B9" s="4">
        <v>1.1299999999999999</v>
      </c>
    </row>
    <row r="10" spans="1:80" x14ac:dyDescent="0.3">
      <c r="A10" s="6" t="s">
        <v>79</v>
      </c>
      <c r="B10" s="6"/>
      <c r="C10" t="s">
        <v>69</v>
      </c>
    </row>
    <row r="11" spans="1:80" x14ac:dyDescent="0.3">
      <c r="A11" s="4" t="s">
        <v>70</v>
      </c>
      <c r="B11" s="4">
        <v>27.62</v>
      </c>
    </row>
    <row r="12" spans="1:80" x14ac:dyDescent="0.3">
      <c r="A12" s="4" t="s">
        <v>71</v>
      </c>
      <c r="B12" s="4">
        <v>6.29</v>
      </c>
    </row>
    <row r="13" spans="1:80" x14ac:dyDescent="0.3">
      <c r="A13" s="4" t="s">
        <v>72</v>
      </c>
      <c r="B13" s="4">
        <v>4.51</v>
      </c>
    </row>
    <row r="14" spans="1:80" x14ac:dyDescent="0.3">
      <c r="A14" s="4" t="s">
        <v>73</v>
      </c>
      <c r="B14" s="4">
        <v>3.15</v>
      </c>
    </row>
    <row r="15" spans="1:80" x14ac:dyDescent="0.3">
      <c r="A15" s="4" t="s">
        <v>74</v>
      </c>
      <c r="B15" s="4">
        <v>0.74</v>
      </c>
    </row>
    <row r="16" spans="1:80" x14ac:dyDescent="0.3">
      <c r="A16" s="4" t="s">
        <v>91</v>
      </c>
      <c r="B16" s="4">
        <v>2.6</v>
      </c>
    </row>
    <row r="17" spans="1:80" x14ac:dyDescent="0.3">
      <c r="A17" s="4" t="s">
        <v>92</v>
      </c>
      <c r="B17" s="4">
        <v>2.12</v>
      </c>
    </row>
    <row r="18" spans="1:80" s="6" customFormat="1" x14ac:dyDescent="0.3">
      <c r="A18" s="6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</row>
    <row r="19" spans="1:80" x14ac:dyDescent="0.3">
      <c r="A19" s="4" t="s">
        <v>89</v>
      </c>
      <c r="B19" s="4">
        <v>40</v>
      </c>
      <c r="C19" t="s">
        <v>90</v>
      </c>
    </row>
    <row r="20" spans="1:80" x14ac:dyDescent="0.3">
      <c r="A20" s="5" t="s">
        <v>75</v>
      </c>
      <c r="B20" s="5">
        <f>ROUNDUP(SUM(B11:B15)*(B19/100),2)</f>
        <v>16.930000000000003</v>
      </c>
    </row>
    <row r="21" spans="1:80" s="6" customFormat="1" x14ac:dyDescent="0.3">
      <c r="A21" s="6" t="s">
        <v>80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</row>
    <row r="22" spans="1:80" x14ac:dyDescent="0.3">
      <c r="A22" s="4" t="s">
        <v>86</v>
      </c>
      <c r="B22" s="4">
        <v>5.5</v>
      </c>
    </row>
    <row r="23" spans="1:80" x14ac:dyDescent="0.3">
      <c r="A23" s="4" t="s">
        <v>76</v>
      </c>
      <c r="B23" s="4">
        <v>0.65</v>
      </c>
    </row>
    <row r="24" spans="1:80" x14ac:dyDescent="0.3">
      <c r="A24" s="1" t="s">
        <v>10</v>
      </c>
      <c r="B24" s="1">
        <v>0.25</v>
      </c>
    </row>
    <row r="25" spans="1:80" x14ac:dyDescent="0.3">
      <c r="A25" s="5" t="s">
        <v>101</v>
      </c>
      <c r="B25" s="5">
        <f>SUM(B22:B24)</f>
        <v>6.4</v>
      </c>
    </row>
    <row r="26" spans="1:80" s="4" customFormat="1" x14ac:dyDescent="0.3">
      <c r="A26" s="6" t="s">
        <v>81</v>
      </c>
      <c r="B26" s="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</row>
    <row r="27" spans="1:80" x14ac:dyDescent="0.3">
      <c r="A27" s="4" t="s">
        <v>82</v>
      </c>
      <c r="B27" s="4">
        <v>3.25</v>
      </c>
    </row>
    <row r="28" spans="1:80" x14ac:dyDescent="0.3">
      <c r="A28" s="4" t="s">
        <v>83</v>
      </c>
      <c r="B28" s="4">
        <v>7</v>
      </c>
    </row>
    <row r="29" spans="1:80" x14ac:dyDescent="0.3">
      <c r="A29" s="4" t="s">
        <v>87</v>
      </c>
      <c r="B29" s="4">
        <v>2</v>
      </c>
    </row>
    <row r="30" spans="1:80" x14ac:dyDescent="0.3">
      <c r="A30" s="4" t="s">
        <v>95</v>
      </c>
      <c r="B30" s="4">
        <v>0.8</v>
      </c>
    </row>
    <row r="31" spans="1:80" x14ac:dyDescent="0.3">
      <c r="A31" s="4" t="s">
        <v>102</v>
      </c>
      <c r="B31" s="4">
        <v>1.78</v>
      </c>
    </row>
    <row r="32" spans="1:80" x14ac:dyDescent="0.3">
      <c r="A32" s="4" t="s">
        <v>103</v>
      </c>
      <c r="B32" s="4">
        <v>0.48</v>
      </c>
    </row>
    <row r="33" spans="1:3" x14ac:dyDescent="0.3">
      <c r="A33" s="6" t="s">
        <v>88</v>
      </c>
      <c r="B33" s="6"/>
    </row>
    <row r="34" spans="1:3" x14ac:dyDescent="0.3">
      <c r="A34" s="4" t="s">
        <v>96</v>
      </c>
      <c r="B34" s="4">
        <v>8</v>
      </c>
    </row>
    <row r="35" spans="1:3" x14ac:dyDescent="0.3">
      <c r="A35" s="4" t="s">
        <v>97</v>
      </c>
      <c r="B35" s="4">
        <v>3.5</v>
      </c>
    </row>
    <row r="36" spans="1:3" x14ac:dyDescent="0.3">
      <c r="A36" s="4" t="s">
        <v>98</v>
      </c>
      <c r="B36" s="4">
        <v>2.5</v>
      </c>
    </row>
    <row r="37" spans="1:3" x14ac:dyDescent="0.3">
      <c r="A37" s="4" t="s">
        <v>99</v>
      </c>
      <c r="B37" s="4">
        <v>1</v>
      </c>
    </row>
    <row r="38" spans="1:3" x14ac:dyDescent="0.3">
      <c r="A38" s="1" t="s">
        <v>100</v>
      </c>
      <c r="B38" s="1">
        <v>3.88</v>
      </c>
      <c r="C38" t="s">
        <v>119</v>
      </c>
    </row>
    <row r="39" spans="1:3" x14ac:dyDescent="0.3">
      <c r="A39" s="5" t="s">
        <v>85</v>
      </c>
      <c r="B39" s="5">
        <f>-SUM(B7:B9,(B11:B17),B20,B25,(B27:B32),B34:B38)</f>
        <v>-131.33000000000001</v>
      </c>
    </row>
    <row r="40" spans="1:3" x14ac:dyDescent="0.3">
      <c r="A40" s="6" t="s">
        <v>84</v>
      </c>
      <c r="B40" s="6"/>
    </row>
    <row r="41" spans="1:3" x14ac:dyDescent="0.3">
      <c r="A41" s="5" t="s">
        <v>104</v>
      </c>
      <c r="B41" s="5">
        <f>ROUNDUP(SUM(B5,B39),2)</f>
        <v>13.72</v>
      </c>
    </row>
    <row r="42" spans="1:3" x14ac:dyDescent="0.3">
      <c r="A42" s="4" t="s">
        <v>13</v>
      </c>
      <c r="B42" s="4">
        <v>6</v>
      </c>
      <c r="C42" s="7" t="s">
        <v>65</v>
      </c>
    </row>
    <row r="43" spans="1:3" x14ac:dyDescent="0.3">
      <c r="A43" s="4" t="s">
        <v>14</v>
      </c>
      <c r="B43" s="4">
        <v>6.5</v>
      </c>
      <c r="C43" s="7" t="s">
        <v>105</v>
      </c>
    </row>
    <row r="44" spans="1:3" x14ac:dyDescent="0.3">
      <c r="A44" s="4" t="s">
        <v>15</v>
      </c>
      <c r="B44" s="4">
        <v>5</v>
      </c>
    </row>
    <row r="45" spans="1:3" x14ac:dyDescent="0.3">
      <c r="A45" s="4" t="s">
        <v>66</v>
      </c>
      <c r="B45" s="4">
        <v>12</v>
      </c>
    </row>
    <row r="46" spans="1:3" x14ac:dyDescent="0.3">
      <c r="A46" s="5" t="s">
        <v>17</v>
      </c>
      <c r="B46" s="5">
        <f>-(B44*(B42/100) + B45*(B43/100))</f>
        <v>-1.08</v>
      </c>
    </row>
    <row r="47" spans="1:3" x14ac:dyDescent="0.3">
      <c r="A47" s="5" t="s">
        <v>18</v>
      </c>
      <c r="B47" s="5">
        <f>B41+B46</f>
        <v>12.64</v>
      </c>
    </row>
    <row r="48" spans="1:3" x14ac:dyDescent="0.3">
      <c r="A48" s="4" t="s">
        <v>19</v>
      </c>
      <c r="B48" s="4">
        <v>0</v>
      </c>
    </row>
    <row r="49" spans="1:2" x14ac:dyDescent="0.3">
      <c r="A49" s="5" t="s">
        <v>20</v>
      </c>
      <c r="B49" s="5">
        <f>MAX(0, B47-B48)</f>
        <v>12.64</v>
      </c>
    </row>
    <row r="50" spans="1:2" x14ac:dyDescent="0.3">
      <c r="A50" s="1" t="s">
        <v>21</v>
      </c>
      <c r="B50" s="1">
        <v>45</v>
      </c>
    </row>
    <row r="51" spans="1:2" x14ac:dyDescent="0.3">
      <c r="A51" s="5" t="s">
        <v>22</v>
      </c>
      <c r="B51" s="5">
        <f>ROUNDUP(-B49*(B50/100),2)</f>
        <v>-5.6899999999999995</v>
      </c>
    </row>
    <row r="52" spans="1:2" x14ac:dyDescent="0.3">
      <c r="A52" s="5" t="s">
        <v>23</v>
      </c>
      <c r="B52" s="5">
        <f>B47+B51</f>
        <v>6.9500000000000011</v>
      </c>
    </row>
    <row r="54" spans="1:2" x14ac:dyDescent="0.3">
      <c r="A54" s="2" t="s">
        <v>24</v>
      </c>
      <c r="B54" s="2"/>
    </row>
    <row r="55" spans="1:2" x14ac:dyDescent="0.3">
      <c r="A55" s="4" t="s">
        <v>25</v>
      </c>
      <c r="B55" s="4">
        <v>35.03</v>
      </c>
    </row>
    <row r="56" spans="1:2" x14ac:dyDescent="0.3">
      <c r="A56" s="4" t="s">
        <v>26</v>
      </c>
      <c r="B56" s="4">
        <v>-1</v>
      </c>
    </row>
    <row r="57" spans="1:2" x14ac:dyDescent="0.3">
      <c r="A57" s="5" t="s">
        <v>27</v>
      </c>
      <c r="B57" s="5">
        <f>B55+B56+B52</f>
        <v>40.980000000000004</v>
      </c>
    </row>
    <row r="58" spans="1:2" x14ac:dyDescent="0.3">
      <c r="A58" s="5" t="s">
        <v>28</v>
      </c>
      <c r="B58" s="5">
        <f>(B52/B55)*100</f>
        <v>19.840137025406797</v>
      </c>
    </row>
    <row r="60" spans="1:2" x14ac:dyDescent="0.3">
      <c r="A60" s="2" t="s">
        <v>29</v>
      </c>
      <c r="B60" s="2"/>
    </row>
    <row r="61" spans="1:2" x14ac:dyDescent="0.3">
      <c r="A61" s="5" t="s">
        <v>30</v>
      </c>
      <c r="B61" s="5">
        <f>B52</f>
        <v>6.9500000000000011</v>
      </c>
    </row>
    <row r="62" spans="1:2" x14ac:dyDescent="0.3">
      <c r="A62" s="5" t="s">
        <v>31</v>
      </c>
      <c r="B62" s="5">
        <f>B25</f>
        <v>6.4</v>
      </c>
    </row>
    <row r="63" spans="1:2" x14ac:dyDescent="0.3">
      <c r="A63" s="5" t="s">
        <v>106</v>
      </c>
      <c r="B63" s="5">
        <f>B17</f>
        <v>2.12</v>
      </c>
    </row>
    <row r="64" spans="1:2" x14ac:dyDescent="0.3">
      <c r="A64" s="5" t="s">
        <v>33</v>
      </c>
      <c r="B64" s="5">
        <f>B61+B62+B63</f>
        <v>15.470000000000002</v>
      </c>
    </row>
    <row r="65" spans="1:3" x14ac:dyDescent="0.3">
      <c r="A65" s="4" t="s">
        <v>63</v>
      </c>
      <c r="B65" s="4">
        <v>26.72</v>
      </c>
    </row>
    <row r="66" spans="1:3" x14ac:dyDescent="0.3">
      <c r="A66" s="5" t="s">
        <v>34</v>
      </c>
      <c r="B66" s="5">
        <f>ROUNDUP(-(B5*0.2-B65),2)</f>
        <v>-2.2899999999999996</v>
      </c>
    </row>
    <row r="67" spans="1:3" x14ac:dyDescent="0.3">
      <c r="A67" s="4" t="s">
        <v>35</v>
      </c>
      <c r="B67" s="4">
        <f>4.56</f>
        <v>4.5599999999999996</v>
      </c>
      <c r="C67" t="s">
        <v>64</v>
      </c>
    </row>
    <row r="68" spans="1:3" x14ac:dyDescent="0.3">
      <c r="A68" s="5" t="s">
        <v>36</v>
      </c>
      <c r="B68" s="5">
        <f>B64+B66+B67</f>
        <v>17.740000000000002</v>
      </c>
    </row>
    <row r="70" spans="1:3" x14ac:dyDescent="0.3">
      <c r="A70" s="2" t="s">
        <v>37</v>
      </c>
      <c r="B70" s="2"/>
    </row>
    <row r="71" spans="1:3" x14ac:dyDescent="0.3">
      <c r="A71" s="6" t="s">
        <v>38</v>
      </c>
      <c r="B71" s="6"/>
    </row>
    <row r="72" spans="1:3" x14ac:dyDescent="0.3">
      <c r="A72" s="5" t="s">
        <v>39</v>
      </c>
      <c r="B72" s="5">
        <f>B5*0.8</f>
        <v>116.03456000000001</v>
      </c>
    </row>
    <row r="73" spans="1:3" x14ac:dyDescent="0.3">
      <c r="A73" s="4" t="s">
        <v>40</v>
      </c>
      <c r="B73" s="4">
        <v>26.72</v>
      </c>
      <c r="C73" t="s">
        <v>107</v>
      </c>
    </row>
    <row r="74" spans="1:3" x14ac:dyDescent="0.3">
      <c r="A74" s="4" t="s">
        <v>108</v>
      </c>
      <c r="B74" s="4">
        <v>0</v>
      </c>
    </row>
    <row r="75" spans="1:3" x14ac:dyDescent="0.3">
      <c r="A75" s="5" t="s">
        <v>61</v>
      </c>
      <c r="B75" s="5">
        <f>B74+B45</f>
        <v>12</v>
      </c>
    </row>
    <row r="76" spans="1:3" x14ac:dyDescent="0.3">
      <c r="A76" s="5" t="s">
        <v>42</v>
      </c>
      <c r="B76" s="5">
        <f>B72+B73+B75</f>
        <v>154.75456000000003</v>
      </c>
    </row>
    <row r="77" spans="1:3" x14ac:dyDescent="0.3">
      <c r="A77" s="6" t="s">
        <v>43</v>
      </c>
      <c r="B77" s="6"/>
    </row>
    <row r="78" spans="1:3" x14ac:dyDescent="0.3">
      <c r="A78" s="4" t="s">
        <v>112</v>
      </c>
      <c r="B78" s="4">
        <v>22.96</v>
      </c>
      <c r="C78" t="s">
        <v>120</v>
      </c>
    </row>
    <row r="79" spans="1:3" x14ac:dyDescent="0.3">
      <c r="A79" s="5" t="s">
        <v>114</v>
      </c>
      <c r="B79" s="5">
        <f>B8</f>
        <v>2</v>
      </c>
    </row>
    <row r="80" spans="1:3" x14ac:dyDescent="0.3">
      <c r="A80" s="5" t="s">
        <v>113</v>
      </c>
      <c r="B80" s="5">
        <f>SUM(B78:B79)</f>
        <v>24.96</v>
      </c>
    </row>
    <row r="81" spans="1:3" x14ac:dyDescent="0.3">
      <c r="A81" s="5" t="s">
        <v>109</v>
      </c>
      <c r="B81" s="5">
        <f>SUM(B11:B16,B20)</f>
        <v>61.84</v>
      </c>
    </row>
    <row r="82" spans="1:3" x14ac:dyDescent="0.3">
      <c r="A82" s="5" t="s">
        <v>110</v>
      </c>
      <c r="B82" s="5">
        <f>SUM(B27:B32,B34:B37,B9)</f>
        <v>31.44</v>
      </c>
    </row>
    <row r="83" spans="1:3" x14ac:dyDescent="0.3">
      <c r="A83" s="5" t="s">
        <v>47</v>
      </c>
      <c r="B83" s="5">
        <f>-B46</f>
        <v>1.08</v>
      </c>
    </row>
    <row r="84" spans="1:3" x14ac:dyDescent="0.3">
      <c r="A84" s="5" t="s">
        <v>48</v>
      </c>
      <c r="B84" s="5">
        <f>-B51</f>
        <v>5.6899999999999995</v>
      </c>
    </row>
    <row r="85" spans="1:3" x14ac:dyDescent="0.3">
      <c r="A85" s="4" t="s">
        <v>49</v>
      </c>
      <c r="B85" s="4">
        <v>2.5</v>
      </c>
      <c r="C85" t="s">
        <v>116</v>
      </c>
    </row>
    <row r="86" spans="1:3" x14ac:dyDescent="0.3">
      <c r="A86" s="4" t="s">
        <v>50</v>
      </c>
      <c r="B86" s="4">
        <v>17</v>
      </c>
      <c r="C86" t="s">
        <v>117</v>
      </c>
    </row>
    <row r="87" spans="1:3" x14ac:dyDescent="0.3">
      <c r="A87" s="5" t="s">
        <v>51</v>
      </c>
      <c r="B87" s="5">
        <f>-B56</f>
        <v>1</v>
      </c>
    </row>
    <row r="88" spans="1:3" x14ac:dyDescent="0.3">
      <c r="A88" s="5" t="s">
        <v>52</v>
      </c>
      <c r="B88" s="5">
        <f>SUM(B80:B87)</f>
        <v>145.51</v>
      </c>
    </row>
    <row r="89" spans="1:3" x14ac:dyDescent="0.3">
      <c r="A89" s="6" t="s">
        <v>111</v>
      </c>
      <c r="B89" s="6"/>
    </row>
    <row r="90" spans="1:3" x14ac:dyDescent="0.3">
      <c r="A90" s="5" t="s">
        <v>53</v>
      </c>
      <c r="B90" s="5">
        <f>B76-B88</f>
        <v>9.2445600000000354</v>
      </c>
    </row>
    <row r="91" spans="1:3" x14ac:dyDescent="0.3">
      <c r="A91" s="4" t="s">
        <v>54</v>
      </c>
      <c r="B91" s="4">
        <v>10.1</v>
      </c>
      <c r="C91" t="s">
        <v>118</v>
      </c>
    </row>
    <row r="92" spans="1:3" x14ac:dyDescent="0.3">
      <c r="A92" s="5" t="s">
        <v>55</v>
      </c>
      <c r="B92" s="5">
        <f>B90+B91</f>
        <v>19.344560000000037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A27C3-61FD-40B5-8531-C2A107CE4E67}">
  <dimension ref="A1:C62"/>
  <sheetViews>
    <sheetView topLeftCell="A34" zoomScale="130" zoomScaleNormal="130" workbookViewId="0">
      <selection activeCell="A59" sqref="A59:XFD5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-4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14.050000000000004</v>
      </c>
    </row>
    <row r="14" spans="1:3" x14ac:dyDescent="0.3">
      <c r="A14" s="1" t="s">
        <v>13</v>
      </c>
      <c r="B14" s="1">
        <v>6</v>
      </c>
      <c r="C14" s="7" t="s">
        <v>65</v>
      </c>
    </row>
    <row r="15" spans="1:3" x14ac:dyDescent="0.3">
      <c r="A15" s="1" t="s">
        <v>14</v>
      </c>
      <c r="B15" s="1">
        <v>6</v>
      </c>
      <c r="C15">
        <v>6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-1.02</v>
      </c>
    </row>
    <row r="19" spans="1:2" x14ac:dyDescent="0.3">
      <c r="A19" s="5" t="s">
        <v>18</v>
      </c>
      <c r="B19" s="5">
        <f>B13+B18</f>
        <v>13.030000000000005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13.030000000000005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-5.8635000000000019</v>
      </c>
    </row>
    <row r="24" spans="1:2" x14ac:dyDescent="0.3">
      <c r="A24" s="5" t="s">
        <v>23</v>
      </c>
      <c r="B24" s="5">
        <f>B19+B23</f>
        <v>7.1665000000000028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40.98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47.146500000000003</v>
      </c>
    </row>
    <row r="30" spans="1:2" x14ac:dyDescent="0.3">
      <c r="A30" s="5" t="s">
        <v>28</v>
      </c>
      <c r="B30" s="5">
        <f>(B24/B27)*100</f>
        <v>17.487798926305523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7.1665000000000028</v>
      </c>
    </row>
    <row r="34" spans="1:3" x14ac:dyDescent="0.3">
      <c r="A34" s="5" t="s">
        <v>31</v>
      </c>
      <c r="B34" s="5">
        <f>-(B10+B11+B12)</f>
        <v>4.25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13.616500000000002</v>
      </c>
    </row>
    <row r="37" spans="1:3" x14ac:dyDescent="0.3">
      <c r="A37" s="4" t="s">
        <v>63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64</v>
      </c>
    </row>
    <row r="40" spans="1:3" x14ac:dyDescent="0.3">
      <c r="A40" s="5" t="s">
        <v>36</v>
      </c>
      <c r="B40" s="5">
        <f>B36+B38+B39</f>
        <v>21.776500000000006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62</v>
      </c>
      <c r="B46" s="4">
        <v>0</v>
      </c>
    </row>
    <row r="47" spans="1:3" x14ac:dyDescent="0.3">
      <c r="A47" s="4" t="s">
        <v>61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49" spans="1:2" x14ac:dyDescent="0.3">
      <c r="A49" s="6" t="s">
        <v>43</v>
      </c>
      <c r="B49" s="6"/>
    </row>
    <row r="50" spans="1:2" x14ac:dyDescent="0.3">
      <c r="A50" s="5" t="s">
        <v>44</v>
      </c>
      <c r="B50" s="5">
        <f>-B6</f>
        <v>95</v>
      </c>
    </row>
    <row r="51" spans="1:2" x14ac:dyDescent="0.3">
      <c r="A51" s="5" t="s">
        <v>45</v>
      </c>
      <c r="B51" s="5">
        <f>-B7</f>
        <v>7.1</v>
      </c>
    </row>
    <row r="52" spans="1:2" x14ac:dyDescent="0.3">
      <c r="A52" s="5" t="s">
        <v>46</v>
      </c>
      <c r="B52" s="5">
        <f>-(B8+B9)</f>
        <v>30</v>
      </c>
    </row>
    <row r="53" spans="1:2" x14ac:dyDescent="0.3">
      <c r="A53" s="5" t="s">
        <v>47</v>
      </c>
      <c r="B53" s="5">
        <f>-B18</f>
        <v>1.02</v>
      </c>
    </row>
    <row r="54" spans="1:2" x14ac:dyDescent="0.3">
      <c r="A54" s="5" t="s">
        <v>48</v>
      </c>
      <c r="B54" s="5">
        <f>-B23</f>
        <v>5.8635000000000019</v>
      </c>
    </row>
    <row r="55" spans="1:2" x14ac:dyDescent="0.3">
      <c r="A55" s="4" t="s">
        <v>49</v>
      </c>
      <c r="B55" s="4">
        <v>0</v>
      </c>
    </row>
    <row r="56" spans="1:2" x14ac:dyDescent="0.3">
      <c r="A56" s="4" t="s">
        <v>50</v>
      </c>
      <c r="B56" s="4">
        <v>12</v>
      </c>
    </row>
    <row r="57" spans="1:2" x14ac:dyDescent="0.3">
      <c r="A57" s="5" t="s">
        <v>51</v>
      </c>
      <c r="B57" s="5">
        <f>-B28</f>
        <v>1</v>
      </c>
    </row>
    <row r="58" spans="1:2" x14ac:dyDescent="0.3">
      <c r="A58" s="5" t="s">
        <v>52</v>
      </c>
      <c r="B58" s="5">
        <f>SUM(B50:B57)</f>
        <v>151.98349999999999</v>
      </c>
    </row>
    <row r="59" spans="1:2" x14ac:dyDescent="0.3">
      <c r="A59" s="6" t="s">
        <v>111</v>
      </c>
      <c r="B59" s="6"/>
    </row>
    <row r="60" spans="1:2" x14ac:dyDescent="0.3">
      <c r="A60" s="5" t="s">
        <v>53</v>
      </c>
      <c r="B60" s="5">
        <f>B48-B58</f>
        <v>6.1365000000000123</v>
      </c>
    </row>
    <row r="61" spans="1:2" x14ac:dyDescent="0.3">
      <c r="A61" s="4" t="s">
        <v>54</v>
      </c>
      <c r="B61" s="4">
        <v>11.26</v>
      </c>
    </row>
    <row r="62" spans="1:2" x14ac:dyDescent="0.3">
      <c r="A62" s="5" t="s">
        <v>55</v>
      </c>
      <c r="B62" s="5">
        <f>B60+B61</f>
        <v>17.39650000000001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B656-79A9-4C5A-8517-D8CA2ED228B1}">
  <dimension ref="A1:CB95"/>
  <sheetViews>
    <sheetView topLeftCell="A73" zoomScale="130" zoomScaleNormal="130" workbookViewId="0">
      <selection activeCell="B71" sqref="B71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5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134</v>
      </c>
      <c r="B3" s="10">
        <v>55000</v>
      </c>
    </row>
    <row r="4" spans="1:80" x14ac:dyDescent="0.3">
      <c r="A4" s="4" t="s">
        <v>135</v>
      </c>
      <c r="B4" s="4">
        <v>3170</v>
      </c>
    </row>
    <row r="5" spans="1:80" x14ac:dyDescent="0.3">
      <c r="A5" s="4" t="s">
        <v>136</v>
      </c>
      <c r="B5" s="4">
        <v>6000</v>
      </c>
    </row>
    <row r="6" spans="1:80" x14ac:dyDescent="0.3">
      <c r="A6" s="4" t="s">
        <v>137</v>
      </c>
      <c r="B6" s="4">
        <v>3257.14</v>
      </c>
      <c r="C6" t="s">
        <v>139</v>
      </c>
    </row>
    <row r="7" spans="1:80" x14ac:dyDescent="0.3">
      <c r="A7" s="5" t="s">
        <v>4</v>
      </c>
      <c r="B7" s="5">
        <f>(B3*B4/1000000)+(B5*B6/1000000)</f>
        <v>193.89284000000001</v>
      </c>
    </row>
    <row r="8" spans="1:80" s="6" customFormat="1" x14ac:dyDescent="0.3">
      <c r="A8" s="6" t="s">
        <v>77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</row>
    <row r="9" spans="1:80" x14ac:dyDescent="0.3">
      <c r="A9" s="4" t="s">
        <v>67</v>
      </c>
      <c r="B9" s="4">
        <f>(66000*350)/1000000</f>
        <v>23.1</v>
      </c>
      <c r="C9" t="s">
        <v>143</v>
      </c>
    </row>
    <row r="10" spans="1:80" x14ac:dyDescent="0.3">
      <c r="A10" s="4" t="s">
        <v>93</v>
      </c>
      <c r="B10" s="4">
        <f>(66000*40)/1000000</f>
        <v>2.64</v>
      </c>
      <c r="C10" s="9" t="s">
        <v>129</v>
      </c>
    </row>
    <row r="11" spans="1:80" x14ac:dyDescent="0.3">
      <c r="A11" s="4" t="s">
        <v>94</v>
      </c>
      <c r="B11" s="4">
        <f>(B3*25+B5*75)/1000000</f>
        <v>1.825</v>
      </c>
      <c r="C11" t="s">
        <v>130</v>
      </c>
    </row>
    <row r="12" spans="1:80" x14ac:dyDescent="0.3">
      <c r="A12" s="6" t="s">
        <v>79</v>
      </c>
      <c r="B12" s="6"/>
      <c r="C12" t="s">
        <v>69</v>
      </c>
    </row>
    <row r="13" spans="1:80" x14ac:dyDescent="0.3">
      <c r="A13" s="4" t="s">
        <v>70</v>
      </c>
      <c r="B13" s="4">
        <f>(((975-(975*0.05))+450)*32000)/1000000</f>
        <v>44.04</v>
      </c>
      <c r="C13" t="s">
        <v>122</v>
      </c>
    </row>
    <row r="14" spans="1:80" x14ac:dyDescent="0.3">
      <c r="A14" s="4" t="s">
        <v>71</v>
      </c>
      <c r="B14" s="4">
        <f>(300*30000)/1000000</f>
        <v>9</v>
      </c>
      <c r="C14" t="s">
        <v>123</v>
      </c>
    </row>
    <row r="15" spans="1:80" x14ac:dyDescent="0.3">
      <c r="A15" s="4" t="s">
        <v>72</v>
      </c>
      <c r="B15" s="4">
        <f>(((120-(120*0.05))+50)*43000)/1000000</f>
        <v>7.0519999999999996</v>
      </c>
      <c r="C15" t="s">
        <v>126</v>
      </c>
    </row>
    <row r="16" spans="1:80" x14ac:dyDescent="0.3">
      <c r="A16" s="4" t="s">
        <v>73</v>
      </c>
      <c r="B16" s="4">
        <f>(((120-(120*0.05))+10)*47000)/1000000</f>
        <v>5.8280000000000003</v>
      </c>
      <c r="C16" s="11" t="s">
        <v>141</v>
      </c>
    </row>
    <row r="17" spans="1:80" x14ac:dyDescent="0.3">
      <c r="A17" s="4" t="s">
        <v>74</v>
      </c>
      <c r="B17" s="4">
        <f>(34*32000)/1000000</f>
        <v>1.0880000000000001</v>
      </c>
    </row>
    <row r="18" spans="1:80" x14ac:dyDescent="0.3">
      <c r="A18" s="4" t="s">
        <v>91</v>
      </c>
      <c r="B18" s="4">
        <f>(510*14000+1377*1200)/1000000</f>
        <v>8.7924000000000007</v>
      </c>
      <c r="C18" t="s">
        <v>144</v>
      </c>
    </row>
    <row r="19" spans="1:80" x14ac:dyDescent="0.3">
      <c r="A19" s="5" t="s">
        <v>92</v>
      </c>
      <c r="B19" s="5">
        <f>SUM(B13:B18)*0.05</f>
        <v>3.7900200000000002</v>
      </c>
      <c r="C19" t="s">
        <v>127</v>
      </c>
    </row>
    <row r="20" spans="1:80" s="6" customFormat="1" x14ac:dyDescent="0.3">
      <c r="A20" s="6" t="s">
        <v>78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</row>
    <row r="21" spans="1:80" x14ac:dyDescent="0.3">
      <c r="A21" s="4" t="s">
        <v>89</v>
      </c>
      <c r="B21" s="4">
        <v>40</v>
      </c>
      <c r="C21" t="s">
        <v>90</v>
      </c>
    </row>
    <row r="22" spans="1:80" x14ac:dyDescent="0.3">
      <c r="A22" s="5" t="s">
        <v>75</v>
      </c>
      <c r="B22" s="5">
        <f>ROUNDUP(SUM(B13:B17)*(B21/100),2)</f>
        <v>26.810000000000002</v>
      </c>
    </row>
    <row r="23" spans="1:80" s="6" customFormat="1" x14ac:dyDescent="0.3">
      <c r="A23" s="6" t="s">
        <v>80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</row>
    <row r="24" spans="1:80" x14ac:dyDescent="0.3">
      <c r="A24" s="4" t="s">
        <v>86</v>
      </c>
      <c r="B24" s="4">
        <v>4</v>
      </c>
      <c r="C24" t="s">
        <v>121</v>
      </c>
    </row>
    <row r="25" spans="1:80" x14ac:dyDescent="0.3">
      <c r="A25" s="4" t="s">
        <v>76</v>
      </c>
      <c r="B25" s="4">
        <v>0.8</v>
      </c>
    </row>
    <row r="26" spans="1:80" x14ac:dyDescent="0.3">
      <c r="A26" s="1" t="s">
        <v>10</v>
      </c>
      <c r="B26" s="1">
        <v>0.25</v>
      </c>
    </row>
    <row r="27" spans="1:80" x14ac:dyDescent="0.3">
      <c r="A27" s="5" t="s">
        <v>101</v>
      </c>
      <c r="B27" s="5">
        <f>SUM(B24:B26)</f>
        <v>5.05</v>
      </c>
    </row>
    <row r="28" spans="1:80" s="4" customFormat="1" x14ac:dyDescent="0.3">
      <c r="A28" s="6" t="s">
        <v>81</v>
      </c>
      <c r="B28" s="6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</row>
    <row r="29" spans="1:80" x14ac:dyDescent="0.3">
      <c r="A29" s="4" t="s">
        <v>82</v>
      </c>
      <c r="B29" s="4">
        <v>4.75</v>
      </c>
      <c r="C29" t="s">
        <v>131</v>
      </c>
    </row>
    <row r="30" spans="1:80" x14ac:dyDescent="0.3">
      <c r="A30" s="4" t="s">
        <v>83</v>
      </c>
      <c r="B30" s="4">
        <v>8</v>
      </c>
    </row>
    <row r="31" spans="1:80" x14ac:dyDescent="0.3">
      <c r="A31" s="4" t="s">
        <v>87</v>
      </c>
      <c r="B31" s="4">
        <v>2</v>
      </c>
    </row>
    <row r="32" spans="1:80" x14ac:dyDescent="0.3">
      <c r="A32" s="4" t="s">
        <v>95</v>
      </c>
      <c r="B32" s="4">
        <v>0.7</v>
      </c>
      <c r="C32" t="s">
        <v>124</v>
      </c>
    </row>
    <row r="33" spans="1:3" x14ac:dyDescent="0.3">
      <c r="A33" s="4" t="s">
        <v>102</v>
      </c>
      <c r="B33" s="4">
        <v>2</v>
      </c>
      <c r="C33" t="s">
        <v>125</v>
      </c>
    </row>
    <row r="34" spans="1:3" x14ac:dyDescent="0.3">
      <c r="A34" s="4" t="s">
        <v>103</v>
      </c>
      <c r="B34" s="4">
        <f>(5000*100+4000*15)/1000000</f>
        <v>0.56000000000000005</v>
      </c>
      <c r="C34" t="s">
        <v>128</v>
      </c>
    </row>
    <row r="35" spans="1:3" x14ac:dyDescent="0.3">
      <c r="A35" s="6" t="s">
        <v>88</v>
      </c>
      <c r="B35" s="6"/>
    </row>
    <row r="36" spans="1:3" x14ac:dyDescent="0.3">
      <c r="A36" s="4" t="s">
        <v>96</v>
      </c>
      <c r="B36" s="4">
        <v>6</v>
      </c>
    </row>
    <row r="37" spans="1:3" x14ac:dyDescent="0.3">
      <c r="A37" s="4" t="s">
        <v>140</v>
      </c>
      <c r="B37" s="4">
        <v>5</v>
      </c>
    </row>
    <row r="38" spans="1:3" x14ac:dyDescent="0.3">
      <c r="A38" s="4" t="s">
        <v>97</v>
      </c>
      <c r="B38" s="4">
        <v>3.5</v>
      </c>
    </row>
    <row r="39" spans="1:3" x14ac:dyDescent="0.3">
      <c r="A39" s="4" t="s">
        <v>98</v>
      </c>
      <c r="B39" s="4">
        <v>4.5</v>
      </c>
    </row>
    <row r="40" spans="1:3" x14ac:dyDescent="0.3">
      <c r="A40" s="4" t="s">
        <v>99</v>
      </c>
      <c r="B40" s="4">
        <v>1</v>
      </c>
    </row>
    <row r="41" spans="1:3" x14ac:dyDescent="0.3">
      <c r="A41" s="1" t="s">
        <v>133</v>
      </c>
      <c r="B41" s="1">
        <f>-(5000*2140)/1000000</f>
        <v>-10.7</v>
      </c>
      <c r="C41" t="s">
        <v>132</v>
      </c>
    </row>
    <row r="42" spans="1:3" x14ac:dyDescent="0.3">
      <c r="A42" s="5" t="s">
        <v>85</v>
      </c>
      <c r="B42" s="5">
        <f>-SUM(B9:B11,(B13:B19),B22,B27,(B29:B34),B36:B41)</f>
        <v>-166.32542000000001</v>
      </c>
    </row>
    <row r="43" spans="1:3" x14ac:dyDescent="0.3">
      <c r="A43" s="6" t="s">
        <v>84</v>
      </c>
      <c r="B43" s="6"/>
    </row>
    <row r="44" spans="1:3" x14ac:dyDescent="0.3">
      <c r="A44" s="5" t="s">
        <v>104</v>
      </c>
      <c r="B44" s="5">
        <f>ROUNDUP(SUM(B7,B42),2)</f>
        <v>27.57</v>
      </c>
    </row>
    <row r="45" spans="1:3" x14ac:dyDescent="0.3">
      <c r="A45" s="4" t="s">
        <v>13</v>
      </c>
      <c r="B45" s="4">
        <v>6</v>
      </c>
      <c r="C45" s="7" t="s">
        <v>65</v>
      </c>
    </row>
    <row r="46" spans="1:3" x14ac:dyDescent="0.3">
      <c r="A46" s="4" t="s">
        <v>14</v>
      </c>
      <c r="B46" s="4">
        <v>6</v>
      </c>
      <c r="C46" s="7" t="s">
        <v>105</v>
      </c>
    </row>
    <row r="47" spans="1:3" x14ac:dyDescent="0.3">
      <c r="A47" s="4" t="s">
        <v>15</v>
      </c>
      <c r="B47" s="4">
        <v>5</v>
      </c>
    </row>
    <row r="48" spans="1:3" x14ac:dyDescent="0.3">
      <c r="A48" s="4" t="s">
        <v>66</v>
      </c>
      <c r="B48" s="4">
        <v>10</v>
      </c>
    </row>
    <row r="49" spans="1:2" x14ac:dyDescent="0.3">
      <c r="A49" s="5" t="s">
        <v>17</v>
      </c>
      <c r="B49" s="5">
        <f>-(B47*(B45/100) + B48*(B46/100))</f>
        <v>-0.89999999999999991</v>
      </c>
    </row>
    <row r="50" spans="1:2" x14ac:dyDescent="0.3">
      <c r="A50" s="5" t="s">
        <v>18</v>
      </c>
      <c r="B50" s="5">
        <f>B44+B49</f>
        <v>26.67</v>
      </c>
    </row>
    <row r="51" spans="1:2" x14ac:dyDescent="0.3">
      <c r="A51" s="4" t="s">
        <v>19</v>
      </c>
      <c r="B51" s="4">
        <v>0</v>
      </c>
    </row>
    <row r="52" spans="1:2" x14ac:dyDescent="0.3">
      <c r="A52" s="5" t="s">
        <v>20</v>
      </c>
      <c r="B52" s="5">
        <f>MAX(0, B50-B51)</f>
        <v>26.67</v>
      </c>
    </row>
    <row r="53" spans="1:2" x14ac:dyDescent="0.3">
      <c r="A53" s="1" t="s">
        <v>21</v>
      </c>
      <c r="B53" s="1">
        <v>45</v>
      </c>
    </row>
    <row r="54" spans="1:2" x14ac:dyDescent="0.3">
      <c r="A54" s="5" t="s">
        <v>22</v>
      </c>
      <c r="B54" s="5">
        <f>ROUNDUP(-B52*(B53/100),2)</f>
        <v>-12.01</v>
      </c>
    </row>
    <row r="55" spans="1:2" x14ac:dyDescent="0.3">
      <c r="A55" s="5" t="s">
        <v>23</v>
      </c>
      <c r="B55" s="5">
        <f>B50+B54</f>
        <v>14.660000000000002</v>
      </c>
    </row>
    <row r="57" spans="1:2" x14ac:dyDescent="0.3">
      <c r="A57" s="2" t="s">
        <v>24</v>
      </c>
      <c r="B57" s="2"/>
    </row>
    <row r="58" spans="1:2" x14ac:dyDescent="0.3">
      <c r="A58" s="4" t="s">
        <v>25</v>
      </c>
      <c r="B58" s="4">
        <v>40.98</v>
      </c>
    </row>
    <row r="59" spans="1:2" x14ac:dyDescent="0.3">
      <c r="A59" s="4" t="s">
        <v>26</v>
      </c>
      <c r="B59" s="4">
        <v>-3</v>
      </c>
    </row>
    <row r="60" spans="1:2" x14ac:dyDescent="0.3">
      <c r="A60" s="5" t="s">
        <v>27</v>
      </c>
      <c r="B60" s="5">
        <f>B58+B59+B55</f>
        <v>52.64</v>
      </c>
    </row>
    <row r="61" spans="1:2" x14ac:dyDescent="0.3">
      <c r="A61" s="5" t="s">
        <v>28</v>
      </c>
      <c r="B61" s="5">
        <f>(B55/B58)*100</f>
        <v>35.773548072230369</v>
      </c>
    </row>
    <row r="63" spans="1:2" x14ac:dyDescent="0.3">
      <c r="A63" s="2" t="s">
        <v>29</v>
      </c>
      <c r="B63" s="2"/>
    </row>
    <row r="64" spans="1:2" x14ac:dyDescent="0.3">
      <c r="A64" s="5" t="s">
        <v>30</v>
      </c>
      <c r="B64" s="5">
        <f>B55</f>
        <v>14.660000000000002</v>
      </c>
    </row>
    <row r="65" spans="1:3" x14ac:dyDescent="0.3">
      <c r="A65" s="5" t="s">
        <v>31</v>
      </c>
      <c r="B65" s="5">
        <f>B27</f>
        <v>5.05</v>
      </c>
    </row>
    <row r="66" spans="1:3" x14ac:dyDescent="0.3">
      <c r="A66" s="5" t="s">
        <v>106</v>
      </c>
      <c r="B66" s="5">
        <f>B19</f>
        <v>3.7900200000000002</v>
      </c>
    </row>
    <row r="67" spans="1:3" x14ac:dyDescent="0.3">
      <c r="A67" s="5" t="s">
        <v>33</v>
      </c>
      <c r="B67" s="5">
        <f>B64+B65+B66</f>
        <v>23.500019999999999</v>
      </c>
    </row>
    <row r="68" spans="1:3" x14ac:dyDescent="0.3">
      <c r="A68" s="4" t="s">
        <v>63</v>
      </c>
      <c r="B68" s="4">
        <v>29.01</v>
      </c>
      <c r="C68" t="s">
        <v>138</v>
      </c>
    </row>
    <row r="69" spans="1:3" x14ac:dyDescent="0.3">
      <c r="A69" s="5" t="s">
        <v>34</v>
      </c>
      <c r="B69" s="5">
        <f>ROUNDUP(-(B7*0.2-B68),2)</f>
        <v>-9.77</v>
      </c>
    </row>
    <row r="70" spans="1:3" x14ac:dyDescent="0.3">
      <c r="A70" s="4" t="s">
        <v>35</v>
      </c>
      <c r="B70" s="4">
        <v>10.7</v>
      </c>
      <c r="C70" t="s">
        <v>145</v>
      </c>
    </row>
    <row r="71" spans="1:3" x14ac:dyDescent="0.3">
      <c r="A71" s="5" t="s">
        <v>36</v>
      </c>
      <c r="B71" s="5">
        <f>B67+B69+B70</f>
        <v>24.430019999999999</v>
      </c>
    </row>
    <row r="73" spans="1:3" x14ac:dyDescent="0.3">
      <c r="A73" s="2" t="s">
        <v>37</v>
      </c>
      <c r="B73" s="2"/>
    </row>
    <row r="74" spans="1:3" x14ac:dyDescent="0.3">
      <c r="A74" s="6" t="s">
        <v>38</v>
      </c>
      <c r="B74" s="6"/>
    </row>
    <row r="75" spans="1:3" x14ac:dyDescent="0.3">
      <c r="A75" s="5" t="s">
        <v>39</v>
      </c>
      <c r="B75" s="5">
        <f>B7*0.8</f>
        <v>155.11427200000003</v>
      </c>
    </row>
    <row r="76" spans="1:3" x14ac:dyDescent="0.3">
      <c r="A76" s="5" t="s">
        <v>40</v>
      </c>
      <c r="B76" s="5">
        <f>B68</f>
        <v>29.01</v>
      </c>
    </row>
    <row r="77" spans="1:3" x14ac:dyDescent="0.3">
      <c r="A77" s="4" t="s">
        <v>108</v>
      </c>
      <c r="B77" s="4">
        <v>0</v>
      </c>
    </row>
    <row r="78" spans="1:3" x14ac:dyDescent="0.3">
      <c r="A78" s="5" t="s">
        <v>61</v>
      </c>
      <c r="B78" s="5">
        <f>B77+B48</f>
        <v>10</v>
      </c>
    </row>
    <row r="79" spans="1:3" x14ac:dyDescent="0.3">
      <c r="A79" s="5" t="s">
        <v>42</v>
      </c>
      <c r="B79" s="5">
        <f>B75+B76+B78</f>
        <v>194.12427200000002</v>
      </c>
    </row>
    <row r="80" spans="1:3" x14ac:dyDescent="0.3">
      <c r="A80" s="6" t="s">
        <v>43</v>
      </c>
      <c r="B80" s="6"/>
    </row>
    <row r="81" spans="1:3" x14ac:dyDescent="0.3">
      <c r="A81" s="4" t="s">
        <v>112</v>
      </c>
      <c r="B81" s="4">
        <f>(70000*350)/1000000</f>
        <v>24.5</v>
      </c>
      <c r="C81" t="s">
        <v>120</v>
      </c>
    </row>
    <row r="82" spans="1:3" x14ac:dyDescent="0.3">
      <c r="A82" s="5" t="s">
        <v>114</v>
      </c>
      <c r="B82" s="5">
        <f>B10</f>
        <v>2.64</v>
      </c>
    </row>
    <row r="83" spans="1:3" x14ac:dyDescent="0.3">
      <c r="A83" s="5" t="s">
        <v>113</v>
      </c>
      <c r="B83" s="5">
        <f>SUM(B81:B82)</f>
        <v>27.14</v>
      </c>
    </row>
    <row r="84" spans="1:3" x14ac:dyDescent="0.3">
      <c r="A84" s="5" t="s">
        <v>109</v>
      </c>
      <c r="B84" s="5">
        <f>SUM(B13:B18,B22)</f>
        <v>102.6104</v>
      </c>
    </row>
    <row r="85" spans="1:3" x14ac:dyDescent="0.3">
      <c r="A85" s="5" t="s">
        <v>110</v>
      </c>
      <c r="B85" s="5">
        <f>SUM(B29:B34,B36:B40,B11)</f>
        <v>39.835000000000001</v>
      </c>
    </row>
    <row r="86" spans="1:3" x14ac:dyDescent="0.3">
      <c r="A86" s="5" t="s">
        <v>47</v>
      </c>
      <c r="B86" s="5">
        <f>-B49</f>
        <v>0.89999999999999991</v>
      </c>
    </row>
    <row r="87" spans="1:3" x14ac:dyDescent="0.3">
      <c r="A87" s="5" t="s">
        <v>48</v>
      </c>
      <c r="B87" s="5">
        <f>-B54</f>
        <v>12.01</v>
      </c>
    </row>
    <row r="88" spans="1:3" x14ac:dyDescent="0.3">
      <c r="A88" s="4" t="s">
        <v>49</v>
      </c>
      <c r="B88" s="4">
        <v>21.5</v>
      </c>
      <c r="C88" t="s">
        <v>142</v>
      </c>
    </row>
    <row r="89" spans="1:3" x14ac:dyDescent="0.3">
      <c r="A89" s="4" t="s">
        <v>50</v>
      </c>
      <c r="B89" s="4">
        <v>4</v>
      </c>
      <c r="C89" t="s">
        <v>117</v>
      </c>
    </row>
    <row r="90" spans="1:3" x14ac:dyDescent="0.3">
      <c r="A90" s="5" t="s">
        <v>51</v>
      </c>
      <c r="B90" s="5">
        <f>-B59</f>
        <v>3</v>
      </c>
    </row>
    <row r="91" spans="1:3" x14ac:dyDescent="0.3">
      <c r="A91" s="5" t="s">
        <v>52</v>
      </c>
      <c r="B91" s="5">
        <f>SUM(B83:B90)</f>
        <v>210.99540000000002</v>
      </c>
    </row>
    <row r="92" spans="1:3" x14ac:dyDescent="0.3">
      <c r="A92" s="6" t="s">
        <v>111</v>
      </c>
      <c r="B92" s="6"/>
    </row>
    <row r="93" spans="1:3" x14ac:dyDescent="0.3">
      <c r="A93" s="5" t="s">
        <v>53</v>
      </c>
      <c r="B93" s="5">
        <f>B79-B91</f>
        <v>-16.871127999999999</v>
      </c>
    </row>
    <row r="94" spans="1:3" x14ac:dyDescent="0.3">
      <c r="A94" s="4" t="s">
        <v>54</v>
      </c>
      <c r="B94" s="4">
        <v>26.49</v>
      </c>
      <c r="C94" t="s">
        <v>118</v>
      </c>
    </row>
    <row r="95" spans="1:3" x14ac:dyDescent="0.3">
      <c r="A95" s="5" t="s">
        <v>55</v>
      </c>
      <c r="B95" s="5">
        <f>B93+B94</f>
        <v>9.6188719999999996</v>
      </c>
    </row>
  </sheetData>
  <pageMargins left="0.75" right="0.75" top="1" bottom="1" header="0.5" footer="0.5"/>
  <pageSetup paperSize="9" orientation="portrait" horizontalDpi="4294967293" verticalDpi="4294967293" r:id="rId1"/>
  <ignoredErrors>
    <ignoredError sqref="B84:B85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491B7-3B52-4F45-BA48-29B09780386D}">
  <dimension ref="A1:CB95"/>
  <sheetViews>
    <sheetView topLeftCell="A41" zoomScale="130" zoomScaleNormal="130" workbookViewId="0">
      <selection activeCell="B41" sqref="B41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5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134</v>
      </c>
      <c r="B3" s="10">
        <v>55000</v>
      </c>
    </row>
    <row r="4" spans="1:80" x14ac:dyDescent="0.3">
      <c r="A4" s="4" t="s">
        <v>135</v>
      </c>
      <c r="B4" s="4">
        <v>3170</v>
      </c>
    </row>
    <row r="5" spans="1:80" x14ac:dyDescent="0.3">
      <c r="A5" s="4" t="s">
        <v>136</v>
      </c>
      <c r="B5" s="4">
        <v>6000</v>
      </c>
    </row>
    <row r="6" spans="1:80" x14ac:dyDescent="0.3">
      <c r="A6" s="4" t="s">
        <v>137</v>
      </c>
      <c r="B6" s="4">
        <v>3257.14</v>
      </c>
      <c r="C6" t="s">
        <v>139</v>
      </c>
    </row>
    <row r="7" spans="1:80" x14ac:dyDescent="0.3">
      <c r="A7" s="5" t="s">
        <v>4</v>
      </c>
      <c r="B7" s="5">
        <f>(B3*B4/1000000)+(B5*B6/1000000)</f>
        <v>193.89284000000001</v>
      </c>
    </row>
    <row r="8" spans="1:80" s="6" customFormat="1" x14ac:dyDescent="0.3">
      <c r="A8" s="6" t="s">
        <v>77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</row>
    <row r="9" spans="1:80" x14ac:dyDescent="0.3">
      <c r="A9" s="4" t="s">
        <v>67</v>
      </c>
      <c r="B9" s="4">
        <f>(66000*350)/1000000</f>
        <v>23.1</v>
      </c>
      <c r="C9" t="s">
        <v>143</v>
      </c>
    </row>
    <row r="10" spans="1:80" x14ac:dyDescent="0.3">
      <c r="A10" s="4" t="s">
        <v>93</v>
      </c>
      <c r="B10" s="4">
        <f>(66000*40)/1000000</f>
        <v>2.64</v>
      </c>
      <c r="C10" s="9" t="s">
        <v>129</v>
      </c>
    </row>
    <row r="11" spans="1:80" x14ac:dyDescent="0.3">
      <c r="A11" s="4" t="s">
        <v>94</v>
      </c>
      <c r="B11" s="4">
        <f>(B3*25+B5*75)/1000000</f>
        <v>1.825</v>
      </c>
      <c r="C11" t="s">
        <v>130</v>
      </c>
    </row>
    <row r="12" spans="1:80" x14ac:dyDescent="0.3">
      <c r="A12" s="6" t="s">
        <v>79</v>
      </c>
      <c r="B12" s="6"/>
      <c r="C12" t="s">
        <v>69</v>
      </c>
    </row>
    <row r="13" spans="1:80" x14ac:dyDescent="0.3">
      <c r="A13" s="4" t="s">
        <v>70</v>
      </c>
      <c r="B13" s="4">
        <f>(((975-(975*0.05))+450)*32000)/1000000</f>
        <v>44.04</v>
      </c>
      <c r="C13" t="s">
        <v>122</v>
      </c>
    </row>
    <row r="14" spans="1:80" x14ac:dyDescent="0.3">
      <c r="A14" s="4" t="s">
        <v>71</v>
      </c>
      <c r="B14" s="4">
        <f>(300*30000)/1000000</f>
        <v>9</v>
      </c>
      <c r="C14" t="s">
        <v>123</v>
      </c>
    </row>
    <row r="15" spans="1:80" x14ac:dyDescent="0.3">
      <c r="A15" s="4" t="s">
        <v>72</v>
      </c>
      <c r="B15" s="4">
        <f>(((120-(120*0.05))+50)*43000)/1000000</f>
        <v>7.0519999999999996</v>
      </c>
      <c r="C15" t="s">
        <v>126</v>
      </c>
    </row>
    <row r="16" spans="1:80" x14ac:dyDescent="0.3">
      <c r="A16" s="4" t="s">
        <v>73</v>
      </c>
      <c r="B16" s="4">
        <f>(((120-(120*0.05))+10)*47000)/1000000</f>
        <v>5.8280000000000003</v>
      </c>
      <c r="C16" s="11" t="s">
        <v>141</v>
      </c>
    </row>
    <row r="17" spans="1:80" x14ac:dyDescent="0.3">
      <c r="A17" s="4" t="s">
        <v>74</v>
      </c>
      <c r="B17" s="4">
        <f>(34*32000)/1000000</f>
        <v>1.0880000000000001</v>
      </c>
    </row>
    <row r="18" spans="1:80" x14ac:dyDescent="0.3">
      <c r="A18" s="4" t="s">
        <v>91</v>
      </c>
      <c r="B18" s="4">
        <f>(510*14000+1377*1200)/1000000</f>
        <v>8.7924000000000007</v>
      </c>
      <c r="C18" t="s">
        <v>144</v>
      </c>
    </row>
    <row r="19" spans="1:80" x14ac:dyDescent="0.3">
      <c r="A19" s="5" t="s">
        <v>92</v>
      </c>
      <c r="B19" s="5">
        <f>SUM(B13:B18)*0.05</f>
        <v>3.7900200000000002</v>
      </c>
      <c r="C19" t="s">
        <v>127</v>
      </c>
    </row>
    <row r="20" spans="1:80" s="6" customFormat="1" x14ac:dyDescent="0.3">
      <c r="A20" s="6" t="s">
        <v>78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</row>
    <row r="21" spans="1:80" x14ac:dyDescent="0.3">
      <c r="A21" s="4" t="s">
        <v>89</v>
      </c>
      <c r="B21" s="4">
        <v>40</v>
      </c>
      <c r="C21" t="s">
        <v>90</v>
      </c>
    </row>
    <row r="22" spans="1:80" x14ac:dyDescent="0.3">
      <c r="A22" s="5" t="s">
        <v>75</v>
      </c>
      <c r="B22" s="5">
        <f>ROUNDUP(SUM(B13:B17)*(B21/100),2)</f>
        <v>26.810000000000002</v>
      </c>
    </row>
    <row r="23" spans="1:80" s="6" customFormat="1" x14ac:dyDescent="0.3">
      <c r="A23" s="6" t="s">
        <v>80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</row>
    <row r="24" spans="1:80" x14ac:dyDescent="0.3">
      <c r="A24" s="4" t="s">
        <v>86</v>
      </c>
      <c r="B24" s="4">
        <v>4</v>
      </c>
      <c r="C24" t="s">
        <v>121</v>
      </c>
    </row>
    <row r="25" spans="1:80" x14ac:dyDescent="0.3">
      <c r="A25" s="4" t="s">
        <v>76</v>
      </c>
      <c r="B25" s="4">
        <v>0.8</v>
      </c>
    </row>
    <row r="26" spans="1:80" x14ac:dyDescent="0.3">
      <c r="A26" s="1" t="s">
        <v>10</v>
      </c>
      <c r="B26" s="1">
        <v>0.25</v>
      </c>
    </row>
    <row r="27" spans="1:80" x14ac:dyDescent="0.3">
      <c r="A27" s="5" t="s">
        <v>101</v>
      </c>
      <c r="B27" s="5">
        <f>SUM(B24:B26)</f>
        <v>5.05</v>
      </c>
    </row>
    <row r="28" spans="1:80" s="4" customFormat="1" x14ac:dyDescent="0.3">
      <c r="A28" s="6" t="s">
        <v>81</v>
      </c>
      <c r="B28" s="6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</row>
    <row r="29" spans="1:80" x14ac:dyDescent="0.3">
      <c r="A29" s="4" t="s">
        <v>82</v>
      </c>
      <c r="B29" s="4">
        <v>4.75</v>
      </c>
      <c r="C29" t="s">
        <v>131</v>
      </c>
    </row>
    <row r="30" spans="1:80" x14ac:dyDescent="0.3">
      <c r="A30" s="4" t="s">
        <v>83</v>
      </c>
      <c r="B30" s="4">
        <v>8</v>
      </c>
    </row>
    <row r="31" spans="1:80" x14ac:dyDescent="0.3">
      <c r="A31" s="4" t="s">
        <v>87</v>
      </c>
      <c r="B31" s="4">
        <v>2</v>
      </c>
    </row>
    <row r="32" spans="1:80" x14ac:dyDescent="0.3">
      <c r="A32" s="4" t="s">
        <v>95</v>
      </c>
      <c r="B32" s="4">
        <v>0.7</v>
      </c>
      <c r="C32" t="s">
        <v>124</v>
      </c>
    </row>
    <row r="33" spans="1:3" x14ac:dyDescent="0.3">
      <c r="A33" s="4" t="s">
        <v>102</v>
      </c>
      <c r="B33" s="4">
        <v>2</v>
      </c>
      <c r="C33" t="s">
        <v>125</v>
      </c>
    </row>
    <row r="34" spans="1:3" x14ac:dyDescent="0.3">
      <c r="A34" s="4" t="s">
        <v>103</v>
      </c>
      <c r="B34" s="4">
        <f>(5000*100+4000*15)/1000000</f>
        <v>0.56000000000000005</v>
      </c>
      <c r="C34" t="s">
        <v>128</v>
      </c>
    </row>
    <row r="35" spans="1:3" x14ac:dyDescent="0.3">
      <c r="A35" s="6" t="s">
        <v>88</v>
      </c>
      <c r="B35" s="6"/>
    </row>
    <row r="36" spans="1:3" x14ac:dyDescent="0.3">
      <c r="A36" s="4" t="s">
        <v>96</v>
      </c>
      <c r="B36" s="4">
        <v>6</v>
      </c>
    </row>
    <row r="37" spans="1:3" x14ac:dyDescent="0.3">
      <c r="A37" s="4" t="s">
        <v>140</v>
      </c>
      <c r="B37" s="4">
        <v>5</v>
      </c>
    </row>
    <row r="38" spans="1:3" x14ac:dyDescent="0.3">
      <c r="A38" s="4" t="s">
        <v>97</v>
      </c>
      <c r="B38" s="4">
        <v>3.5</v>
      </c>
    </row>
    <row r="39" spans="1:3" x14ac:dyDescent="0.3">
      <c r="A39" s="4" t="s">
        <v>98</v>
      </c>
      <c r="B39" s="4">
        <v>4.5</v>
      </c>
    </row>
    <row r="40" spans="1:3" x14ac:dyDescent="0.3">
      <c r="A40" s="4" t="s">
        <v>99</v>
      </c>
      <c r="B40" s="4">
        <v>1</v>
      </c>
    </row>
    <row r="41" spans="1:3" x14ac:dyDescent="0.3">
      <c r="A41" s="1" t="s">
        <v>133</v>
      </c>
      <c r="B41" s="1">
        <f>-(5000*2140)/1000000</f>
        <v>-10.7</v>
      </c>
      <c r="C41" t="s">
        <v>132</v>
      </c>
    </row>
    <row r="42" spans="1:3" x14ac:dyDescent="0.3">
      <c r="A42" s="5" t="s">
        <v>85</v>
      </c>
      <c r="B42" s="5">
        <f>-SUM(B9:B11,(B13:B19),B22,B27,(B29:B34),B36:B41)</f>
        <v>-166.32542000000001</v>
      </c>
    </row>
    <row r="43" spans="1:3" x14ac:dyDescent="0.3">
      <c r="A43" s="6" t="s">
        <v>84</v>
      </c>
      <c r="B43" s="6"/>
    </row>
    <row r="44" spans="1:3" x14ac:dyDescent="0.3">
      <c r="A44" s="5" t="s">
        <v>104</v>
      </c>
      <c r="B44" s="5">
        <f>ROUNDUP(SUM(B7,B42),2)</f>
        <v>27.57</v>
      </c>
    </row>
    <row r="45" spans="1:3" x14ac:dyDescent="0.3">
      <c r="A45" s="4" t="s">
        <v>13</v>
      </c>
      <c r="B45" s="4">
        <v>6</v>
      </c>
      <c r="C45" s="7" t="s">
        <v>65</v>
      </c>
    </row>
    <row r="46" spans="1:3" x14ac:dyDescent="0.3">
      <c r="A46" s="4" t="s">
        <v>14</v>
      </c>
      <c r="B46" s="4">
        <v>6</v>
      </c>
      <c r="C46" s="7" t="s">
        <v>105</v>
      </c>
    </row>
    <row r="47" spans="1:3" x14ac:dyDescent="0.3">
      <c r="A47" s="4" t="s">
        <v>15</v>
      </c>
      <c r="B47" s="4">
        <v>5</v>
      </c>
    </row>
    <row r="48" spans="1:3" x14ac:dyDescent="0.3">
      <c r="A48" s="4" t="s">
        <v>66</v>
      </c>
      <c r="B48" s="4">
        <v>10</v>
      </c>
    </row>
    <row r="49" spans="1:2" x14ac:dyDescent="0.3">
      <c r="A49" s="5" t="s">
        <v>17</v>
      </c>
      <c r="B49" s="5">
        <f>-(B47*(B45/100) + B48*(B46/100))</f>
        <v>-0.89999999999999991</v>
      </c>
    </row>
    <row r="50" spans="1:2" x14ac:dyDescent="0.3">
      <c r="A50" s="5" t="s">
        <v>18</v>
      </c>
      <c r="B50" s="5">
        <f>B44+B49</f>
        <v>26.67</v>
      </c>
    </row>
    <row r="51" spans="1:2" x14ac:dyDescent="0.3">
      <c r="A51" s="4" t="s">
        <v>19</v>
      </c>
      <c r="B51" s="4">
        <v>0</v>
      </c>
    </row>
    <row r="52" spans="1:2" x14ac:dyDescent="0.3">
      <c r="A52" s="5" t="s">
        <v>20</v>
      </c>
      <c r="B52" s="5">
        <f>MAX(0, B50-B51)</f>
        <v>26.67</v>
      </c>
    </row>
    <row r="53" spans="1:2" x14ac:dyDescent="0.3">
      <c r="A53" s="1" t="s">
        <v>21</v>
      </c>
      <c r="B53" s="1">
        <v>45</v>
      </c>
    </row>
    <row r="54" spans="1:2" x14ac:dyDescent="0.3">
      <c r="A54" s="5" t="s">
        <v>22</v>
      </c>
      <c r="B54" s="5">
        <f>ROUNDUP(-B52*(B53/100),2)</f>
        <v>-12.01</v>
      </c>
    </row>
    <row r="55" spans="1:2" x14ac:dyDescent="0.3">
      <c r="A55" s="5" t="s">
        <v>23</v>
      </c>
      <c r="B55" s="5">
        <f>B50+B54</f>
        <v>14.660000000000002</v>
      </c>
    </row>
    <row r="57" spans="1:2" x14ac:dyDescent="0.3">
      <c r="A57" s="2" t="s">
        <v>24</v>
      </c>
      <c r="B57" s="2"/>
    </row>
    <row r="58" spans="1:2" x14ac:dyDescent="0.3">
      <c r="A58" s="4" t="s">
        <v>25</v>
      </c>
      <c r="B58" s="4">
        <v>40.98</v>
      </c>
    </row>
    <row r="59" spans="1:2" x14ac:dyDescent="0.3">
      <c r="A59" s="4" t="s">
        <v>26</v>
      </c>
      <c r="B59" s="4">
        <v>-3</v>
      </c>
    </row>
    <row r="60" spans="1:2" x14ac:dyDescent="0.3">
      <c r="A60" s="5" t="s">
        <v>27</v>
      </c>
      <c r="B60" s="5">
        <f>B58+B59+B55</f>
        <v>52.64</v>
      </c>
    </row>
    <row r="61" spans="1:2" x14ac:dyDescent="0.3">
      <c r="A61" s="5" t="s">
        <v>28</v>
      </c>
      <c r="B61" s="5">
        <f>(B55/B58)*100</f>
        <v>35.773548072230369</v>
      </c>
    </row>
    <row r="63" spans="1:2" x14ac:dyDescent="0.3">
      <c r="A63" s="2" t="s">
        <v>29</v>
      </c>
      <c r="B63" s="2"/>
    </row>
    <row r="64" spans="1:2" x14ac:dyDescent="0.3">
      <c r="A64" s="5" t="s">
        <v>30</v>
      </c>
      <c r="B64" s="5">
        <f>B55</f>
        <v>14.660000000000002</v>
      </c>
    </row>
    <row r="65" spans="1:3" x14ac:dyDescent="0.3">
      <c r="A65" s="5" t="s">
        <v>31</v>
      </c>
      <c r="B65" s="5">
        <f>B27</f>
        <v>5.05</v>
      </c>
    </row>
    <row r="66" spans="1:3" x14ac:dyDescent="0.3">
      <c r="A66" s="5" t="s">
        <v>106</v>
      </c>
      <c r="B66" s="5">
        <f>B19</f>
        <v>3.7900200000000002</v>
      </c>
    </row>
    <row r="67" spans="1:3" x14ac:dyDescent="0.3">
      <c r="A67" s="5" t="s">
        <v>33</v>
      </c>
      <c r="B67" s="5">
        <f>B64+B65+B66</f>
        <v>23.500019999999999</v>
      </c>
    </row>
    <row r="68" spans="1:3" x14ac:dyDescent="0.3">
      <c r="A68" s="4" t="s">
        <v>63</v>
      </c>
      <c r="B68" s="4">
        <v>29.01</v>
      </c>
      <c r="C68" t="s">
        <v>138</v>
      </c>
    </row>
    <row r="69" spans="1:3" x14ac:dyDescent="0.3">
      <c r="A69" s="5" t="s">
        <v>34</v>
      </c>
      <c r="B69" s="5">
        <f>ROUNDUP(-(B7*0.2-B68),2)</f>
        <v>-9.77</v>
      </c>
    </row>
    <row r="70" spans="1:3" x14ac:dyDescent="0.3">
      <c r="A70" s="4" t="s">
        <v>35</v>
      </c>
      <c r="B70" s="4">
        <v>10.7</v>
      </c>
      <c r="C70" t="s">
        <v>145</v>
      </c>
    </row>
    <row r="71" spans="1:3" x14ac:dyDescent="0.3">
      <c r="A71" s="5" t="s">
        <v>36</v>
      </c>
      <c r="B71" s="5">
        <f>B67+B69+B70</f>
        <v>24.430019999999999</v>
      </c>
    </row>
    <row r="73" spans="1:3" x14ac:dyDescent="0.3">
      <c r="A73" s="2" t="s">
        <v>37</v>
      </c>
      <c r="B73" s="2"/>
    </row>
    <row r="74" spans="1:3" x14ac:dyDescent="0.3">
      <c r="A74" s="6" t="s">
        <v>38</v>
      </c>
      <c r="B74" s="6"/>
    </row>
    <row r="75" spans="1:3" x14ac:dyDescent="0.3">
      <c r="A75" s="5" t="s">
        <v>39</v>
      </c>
      <c r="B75" s="5">
        <f>B7*0.8</f>
        <v>155.11427200000003</v>
      </c>
    </row>
    <row r="76" spans="1:3" x14ac:dyDescent="0.3">
      <c r="A76" s="5" t="s">
        <v>40</v>
      </c>
      <c r="B76" s="5">
        <f>B68</f>
        <v>29.01</v>
      </c>
    </row>
    <row r="77" spans="1:3" x14ac:dyDescent="0.3">
      <c r="A77" s="4" t="s">
        <v>108</v>
      </c>
      <c r="B77" s="4">
        <v>0</v>
      </c>
    </row>
    <row r="78" spans="1:3" x14ac:dyDescent="0.3">
      <c r="A78" s="5" t="s">
        <v>61</v>
      </c>
      <c r="B78" s="5">
        <f>B77+B48</f>
        <v>10</v>
      </c>
    </row>
    <row r="79" spans="1:3" x14ac:dyDescent="0.3">
      <c r="A79" s="5" t="s">
        <v>42</v>
      </c>
      <c r="B79" s="5">
        <f>B75+B76+B78</f>
        <v>194.12427200000002</v>
      </c>
    </row>
    <row r="80" spans="1:3" x14ac:dyDescent="0.3">
      <c r="A80" s="6" t="s">
        <v>43</v>
      </c>
      <c r="B80" s="6"/>
    </row>
    <row r="81" spans="1:3" x14ac:dyDescent="0.3">
      <c r="A81" s="4" t="s">
        <v>112</v>
      </c>
      <c r="B81" s="4">
        <f>(70000*350)/1000000</f>
        <v>24.5</v>
      </c>
      <c r="C81" t="s">
        <v>120</v>
      </c>
    </row>
    <row r="82" spans="1:3" x14ac:dyDescent="0.3">
      <c r="A82" s="5" t="s">
        <v>114</v>
      </c>
      <c r="B82" s="5">
        <f>B10</f>
        <v>2.64</v>
      </c>
    </row>
    <row r="83" spans="1:3" x14ac:dyDescent="0.3">
      <c r="A83" s="5" t="s">
        <v>113</v>
      </c>
      <c r="B83" s="5">
        <f>SUM(B81:B82)</f>
        <v>27.14</v>
      </c>
    </row>
    <row r="84" spans="1:3" x14ac:dyDescent="0.3">
      <c r="A84" s="5" t="s">
        <v>109</v>
      </c>
      <c r="B84" s="5">
        <f>SUM(B13:B18,B22)</f>
        <v>102.6104</v>
      </c>
    </row>
    <row r="85" spans="1:3" x14ac:dyDescent="0.3">
      <c r="A85" s="5" t="s">
        <v>110</v>
      </c>
      <c r="B85" s="5">
        <f>SUM(B29:B34,B36:B40,B11)</f>
        <v>39.835000000000001</v>
      </c>
    </row>
    <row r="86" spans="1:3" x14ac:dyDescent="0.3">
      <c r="A86" s="5" t="s">
        <v>47</v>
      </c>
      <c r="B86" s="5">
        <f>-B49</f>
        <v>0.89999999999999991</v>
      </c>
    </row>
    <row r="87" spans="1:3" x14ac:dyDescent="0.3">
      <c r="A87" s="5" t="s">
        <v>48</v>
      </c>
      <c r="B87" s="5">
        <f>-B54</f>
        <v>12.01</v>
      </c>
    </row>
    <row r="88" spans="1:3" x14ac:dyDescent="0.3">
      <c r="A88" s="4" t="s">
        <v>49</v>
      </c>
      <c r="B88" s="4">
        <v>21.5</v>
      </c>
      <c r="C88" t="s">
        <v>142</v>
      </c>
    </row>
    <row r="89" spans="1:3" x14ac:dyDescent="0.3">
      <c r="A89" s="4" t="s">
        <v>50</v>
      </c>
      <c r="B89" s="4">
        <v>4</v>
      </c>
      <c r="C89" t="s">
        <v>117</v>
      </c>
    </row>
    <row r="90" spans="1:3" x14ac:dyDescent="0.3">
      <c r="A90" s="5" t="s">
        <v>51</v>
      </c>
      <c r="B90" s="5">
        <f>-B59</f>
        <v>3</v>
      </c>
    </row>
    <row r="91" spans="1:3" x14ac:dyDescent="0.3">
      <c r="A91" s="5" t="s">
        <v>52</v>
      </c>
      <c r="B91" s="5">
        <f>SUM(B83:B90)</f>
        <v>210.99540000000002</v>
      </c>
    </row>
    <row r="92" spans="1:3" x14ac:dyDescent="0.3">
      <c r="A92" s="6" t="s">
        <v>111</v>
      </c>
      <c r="B92" s="6"/>
    </row>
    <row r="93" spans="1:3" x14ac:dyDescent="0.3">
      <c r="A93" s="5" t="s">
        <v>53</v>
      </c>
      <c r="B93" s="5">
        <f>B79-B91</f>
        <v>-16.871127999999999</v>
      </c>
    </row>
    <row r="94" spans="1:3" x14ac:dyDescent="0.3">
      <c r="A94" s="4" t="s">
        <v>54</v>
      </c>
      <c r="B94" s="4">
        <v>26.49</v>
      </c>
      <c r="C94" t="s">
        <v>118</v>
      </c>
    </row>
    <row r="95" spans="1:3" x14ac:dyDescent="0.3">
      <c r="A95" s="5" t="s">
        <v>55</v>
      </c>
      <c r="B95" s="5">
        <f>B93+B94</f>
        <v>9.6188719999999996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78C0-980F-47DC-B180-057BCC014314}">
  <dimension ref="A1:CB95"/>
  <sheetViews>
    <sheetView topLeftCell="A41" zoomScale="130" zoomScaleNormal="130" workbookViewId="0">
      <selection activeCell="B41" sqref="B41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5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134</v>
      </c>
      <c r="B3" s="10">
        <v>55000</v>
      </c>
    </row>
    <row r="4" spans="1:80" x14ac:dyDescent="0.3">
      <c r="A4" s="4" t="s">
        <v>135</v>
      </c>
      <c r="B4" s="4">
        <v>3170</v>
      </c>
    </row>
    <row r="5" spans="1:80" x14ac:dyDescent="0.3">
      <c r="A5" s="4" t="s">
        <v>136</v>
      </c>
      <c r="B5" s="4">
        <v>6000</v>
      </c>
    </row>
    <row r="6" spans="1:80" x14ac:dyDescent="0.3">
      <c r="A6" s="4" t="s">
        <v>137</v>
      </c>
      <c r="B6" s="4">
        <v>3257.14</v>
      </c>
      <c r="C6" t="s">
        <v>139</v>
      </c>
    </row>
    <row r="7" spans="1:80" x14ac:dyDescent="0.3">
      <c r="A7" s="5" t="s">
        <v>4</v>
      </c>
      <c r="B7" s="5">
        <f>(B3*B4/1000000)+(B5*B6/1000000)</f>
        <v>193.89284000000001</v>
      </c>
    </row>
    <row r="8" spans="1:80" s="6" customFormat="1" x14ac:dyDescent="0.3">
      <c r="A8" s="6" t="s">
        <v>77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</row>
    <row r="9" spans="1:80" x14ac:dyDescent="0.3">
      <c r="A9" s="4" t="s">
        <v>67</v>
      </c>
      <c r="B9" s="4">
        <f>(66000*350)/1000000</f>
        <v>23.1</v>
      </c>
      <c r="C9" t="s">
        <v>143</v>
      </c>
    </row>
    <row r="10" spans="1:80" x14ac:dyDescent="0.3">
      <c r="A10" s="4" t="s">
        <v>93</v>
      </c>
      <c r="B10" s="4">
        <f>(66000*40)/1000000</f>
        <v>2.64</v>
      </c>
      <c r="C10" s="9" t="s">
        <v>129</v>
      </c>
    </row>
    <row r="11" spans="1:80" x14ac:dyDescent="0.3">
      <c r="A11" s="4" t="s">
        <v>94</v>
      </c>
      <c r="B11" s="4">
        <f>(B3*25+B5*75)/1000000</f>
        <v>1.825</v>
      </c>
      <c r="C11" t="s">
        <v>130</v>
      </c>
    </row>
    <row r="12" spans="1:80" x14ac:dyDescent="0.3">
      <c r="A12" s="6" t="s">
        <v>79</v>
      </c>
      <c r="B12" s="6"/>
      <c r="C12" t="s">
        <v>69</v>
      </c>
    </row>
    <row r="13" spans="1:80" x14ac:dyDescent="0.3">
      <c r="A13" s="4" t="s">
        <v>70</v>
      </c>
      <c r="B13" s="4">
        <f>(((975-(975*0.05))+450)*32000)/1000000</f>
        <v>44.04</v>
      </c>
      <c r="C13" t="s">
        <v>122</v>
      </c>
    </row>
    <row r="14" spans="1:80" x14ac:dyDescent="0.3">
      <c r="A14" s="4" t="s">
        <v>71</v>
      </c>
      <c r="B14" s="4">
        <f>(300*30000)/1000000</f>
        <v>9</v>
      </c>
      <c r="C14" t="s">
        <v>123</v>
      </c>
    </row>
    <row r="15" spans="1:80" x14ac:dyDescent="0.3">
      <c r="A15" s="4" t="s">
        <v>72</v>
      </c>
      <c r="B15" s="4">
        <f>(((120-(120*0.05))+50)*43000)/1000000</f>
        <v>7.0519999999999996</v>
      </c>
      <c r="C15" t="s">
        <v>126</v>
      </c>
    </row>
    <row r="16" spans="1:80" x14ac:dyDescent="0.3">
      <c r="A16" s="4" t="s">
        <v>73</v>
      </c>
      <c r="B16" s="4">
        <f>(((120-(120*0.05))+10)*47000)/1000000</f>
        <v>5.8280000000000003</v>
      </c>
      <c r="C16" s="11" t="s">
        <v>141</v>
      </c>
    </row>
    <row r="17" spans="1:80" x14ac:dyDescent="0.3">
      <c r="A17" s="4" t="s">
        <v>74</v>
      </c>
      <c r="B17" s="4">
        <f>(34*32000)/1000000</f>
        <v>1.0880000000000001</v>
      </c>
    </row>
    <row r="18" spans="1:80" x14ac:dyDescent="0.3">
      <c r="A18" s="4" t="s">
        <v>91</v>
      </c>
      <c r="B18" s="4">
        <f>(510*14000+1377*1200)/1000000</f>
        <v>8.7924000000000007</v>
      </c>
      <c r="C18" t="s">
        <v>144</v>
      </c>
    </row>
    <row r="19" spans="1:80" x14ac:dyDescent="0.3">
      <c r="A19" s="5" t="s">
        <v>92</v>
      </c>
      <c r="B19" s="5">
        <f>SUM(B13:B18)*0.05</f>
        <v>3.7900200000000002</v>
      </c>
      <c r="C19" t="s">
        <v>127</v>
      </c>
    </row>
    <row r="20" spans="1:80" s="6" customFormat="1" x14ac:dyDescent="0.3">
      <c r="A20" s="6" t="s">
        <v>78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</row>
    <row r="21" spans="1:80" x14ac:dyDescent="0.3">
      <c r="A21" s="4" t="s">
        <v>89</v>
      </c>
      <c r="B21" s="4">
        <v>40</v>
      </c>
      <c r="C21" t="s">
        <v>90</v>
      </c>
    </row>
    <row r="22" spans="1:80" x14ac:dyDescent="0.3">
      <c r="A22" s="5" t="s">
        <v>75</v>
      </c>
      <c r="B22" s="5">
        <f>ROUNDUP(SUM(B13:B17)*(B21/100),2)</f>
        <v>26.810000000000002</v>
      </c>
    </row>
    <row r="23" spans="1:80" s="6" customFormat="1" x14ac:dyDescent="0.3">
      <c r="A23" s="6" t="s">
        <v>80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</row>
    <row r="24" spans="1:80" x14ac:dyDescent="0.3">
      <c r="A24" s="4" t="s">
        <v>86</v>
      </c>
      <c r="B24" s="4">
        <v>4</v>
      </c>
      <c r="C24" t="s">
        <v>121</v>
      </c>
    </row>
    <row r="25" spans="1:80" x14ac:dyDescent="0.3">
      <c r="A25" s="4" t="s">
        <v>76</v>
      </c>
      <c r="B25" s="4">
        <v>0.8</v>
      </c>
    </row>
    <row r="26" spans="1:80" x14ac:dyDescent="0.3">
      <c r="A26" s="1" t="s">
        <v>10</v>
      </c>
      <c r="B26" s="1">
        <v>0.25</v>
      </c>
    </row>
    <row r="27" spans="1:80" x14ac:dyDescent="0.3">
      <c r="A27" s="5" t="s">
        <v>101</v>
      </c>
      <c r="B27" s="5">
        <f>SUM(B24:B26)</f>
        <v>5.05</v>
      </c>
    </row>
    <row r="28" spans="1:80" s="4" customFormat="1" x14ac:dyDescent="0.3">
      <c r="A28" s="6" t="s">
        <v>81</v>
      </c>
      <c r="B28" s="6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</row>
    <row r="29" spans="1:80" x14ac:dyDescent="0.3">
      <c r="A29" s="4" t="s">
        <v>82</v>
      </c>
      <c r="B29" s="4">
        <v>4.75</v>
      </c>
      <c r="C29" t="s">
        <v>131</v>
      </c>
    </row>
    <row r="30" spans="1:80" x14ac:dyDescent="0.3">
      <c r="A30" s="4" t="s">
        <v>83</v>
      </c>
      <c r="B30" s="4">
        <v>8</v>
      </c>
    </row>
    <row r="31" spans="1:80" x14ac:dyDescent="0.3">
      <c r="A31" s="4" t="s">
        <v>87</v>
      </c>
      <c r="B31" s="4">
        <v>2</v>
      </c>
    </row>
    <row r="32" spans="1:80" x14ac:dyDescent="0.3">
      <c r="A32" s="4" t="s">
        <v>95</v>
      </c>
      <c r="B32" s="4">
        <v>0.7</v>
      </c>
      <c r="C32" t="s">
        <v>124</v>
      </c>
    </row>
    <row r="33" spans="1:3" x14ac:dyDescent="0.3">
      <c r="A33" s="4" t="s">
        <v>102</v>
      </c>
      <c r="B33" s="4">
        <v>2</v>
      </c>
      <c r="C33" t="s">
        <v>125</v>
      </c>
    </row>
    <row r="34" spans="1:3" x14ac:dyDescent="0.3">
      <c r="A34" s="4" t="s">
        <v>103</v>
      </c>
      <c r="B34" s="4">
        <f>(5000*100+4000*15)/1000000</f>
        <v>0.56000000000000005</v>
      </c>
      <c r="C34" t="s">
        <v>128</v>
      </c>
    </row>
    <row r="35" spans="1:3" x14ac:dyDescent="0.3">
      <c r="A35" s="6" t="s">
        <v>88</v>
      </c>
      <c r="B35" s="6"/>
    </row>
    <row r="36" spans="1:3" x14ac:dyDescent="0.3">
      <c r="A36" s="4" t="s">
        <v>96</v>
      </c>
      <c r="B36" s="4">
        <v>6</v>
      </c>
    </row>
    <row r="37" spans="1:3" x14ac:dyDescent="0.3">
      <c r="A37" s="4" t="s">
        <v>140</v>
      </c>
      <c r="B37" s="4">
        <v>5</v>
      </c>
    </row>
    <row r="38" spans="1:3" x14ac:dyDescent="0.3">
      <c r="A38" s="4" t="s">
        <v>97</v>
      </c>
      <c r="B38" s="4">
        <v>3.5</v>
      </c>
    </row>
    <row r="39" spans="1:3" x14ac:dyDescent="0.3">
      <c r="A39" s="4" t="s">
        <v>98</v>
      </c>
      <c r="B39" s="4">
        <v>4.5</v>
      </c>
    </row>
    <row r="40" spans="1:3" x14ac:dyDescent="0.3">
      <c r="A40" s="4" t="s">
        <v>99</v>
      </c>
      <c r="B40" s="4">
        <v>1</v>
      </c>
    </row>
    <row r="41" spans="1:3" x14ac:dyDescent="0.3">
      <c r="A41" s="1" t="s">
        <v>133</v>
      </c>
      <c r="B41" s="1">
        <f>-(5000*2140)/1000000</f>
        <v>-10.7</v>
      </c>
      <c r="C41" t="s">
        <v>132</v>
      </c>
    </row>
    <row r="42" spans="1:3" x14ac:dyDescent="0.3">
      <c r="A42" s="5" t="s">
        <v>85</v>
      </c>
      <c r="B42" s="5">
        <f>-SUM(B9:B11,(B13:B19),B22,B27,(B29:B34),B36:B41)</f>
        <v>-166.32542000000001</v>
      </c>
    </row>
    <row r="43" spans="1:3" x14ac:dyDescent="0.3">
      <c r="A43" s="6" t="s">
        <v>84</v>
      </c>
      <c r="B43" s="6"/>
    </row>
    <row r="44" spans="1:3" x14ac:dyDescent="0.3">
      <c r="A44" s="5" t="s">
        <v>104</v>
      </c>
      <c r="B44" s="5">
        <f>ROUNDUP(SUM(B7,B42),2)</f>
        <v>27.57</v>
      </c>
    </row>
    <row r="45" spans="1:3" x14ac:dyDescent="0.3">
      <c r="A45" s="4" t="s">
        <v>13</v>
      </c>
      <c r="B45" s="4">
        <v>6</v>
      </c>
      <c r="C45" s="7" t="s">
        <v>65</v>
      </c>
    </row>
    <row r="46" spans="1:3" x14ac:dyDescent="0.3">
      <c r="A46" s="4" t="s">
        <v>14</v>
      </c>
      <c r="B46" s="4">
        <v>6</v>
      </c>
      <c r="C46" s="7" t="s">
        <v>105</v>
      </c>
    </row>
    <row r="47" spans="1:3" x14ac:dyDescent="0.3">
      <c r="A47" s="4" t="s">
        <v>15</v>
      </c>
      <c r="B47" s="4">
        <v>5</v>
      </c>
    </row>
    <row r="48" spans="1:3" x14ac:dyDescent="0.3">
      <c r="A48" s="4" t="s">
        <v>66</v>
      </c>
      <c r="B48" s="4">
        <v>10</v>
      </c>
    </row>
    <row r="49" spans="1:2" x14ac:dyDescent="0.3">
      <c r="A49" s="5" t="s">
        <v>17</v>
      </c>
      <c r="B49" s="5">
        <f>-(B47*(B45/100) + B48*(B46/100))</f>
        <v>-0.89999999999999991</v>
      </c>
    </row>
    <row r="50" spans="1:2" x14ac:dyDescent="0.3">
      <c r="A50" s="5" t="s">
        <v>18</v>
      </c>
      <c r="B50" s="5">
        <f>B44+B49</f>
        <v>26.67</v>
      </c>
    </row>
    <row r="51" spans="1:2" x14ac:dyDescent="0.3">
      <c r="A51" s="4" t="s">
        <v>19</v>
      </c>
      <c r="B51" s="4">
        <v>0</v>
      </c>
    </row>
    <row r="52" spans="1:2" x14ac:dyDescent="0.3">
      <c r="A52" s="5" t="s">
        <v>20</v>
      </c>
      <c r="B52" s="5">
        <f>MAX(0, B50-B51)</f>
        <v>26.67</v>
      </c>
    </row>
    <row r="53" spans="1:2" x14ac:dyDescent="0.3">
      <c r="A53" s="1" t="s">
        <v>21</v>
      </c>
      <c r="B53" s="1">
        <v>45</v>
      </c>
    </row>
    <row r="54" spans="1:2" x14ac:dyDescent="0.3">
      <c r="A54" s="5" t="s">
        <v>22</v>
      </c>
      <c r="B54" s="5">
        <f>ROUNDUP(-B52*(B53/100),2)</f>
        <v>-12.01</v>
      </c>
    </row>
    <row r="55" spans="1:2" x14ac:dyDescent="0.3">
      <c r="A55" s="5" t="s">
        <v>23</v>
      </c>
      <c r="B55" s="5">
        <f>B50+B54</f>
        <v>14.660000000000002</v>
      </c>
    </row>
    <row r="57" spans="1:2" x14ac:dyDescent="0.3">
      <c r="A57" s="2" t="s">
        <v>24</v>
      </c>
      <c r="B57" s="2"/>
    </row>
    <row r="58" spans="1:2" x14ac:dyDescent="0.3">
      <c r="A58" s="4" t="s">
        <v>25</v>
      </c>
      <c r="B58" s="4">
        <v>40.98</v>
      </c>
    </row>
    <row r="59" spans="1:2" x14ac:dyDescent="0.3">
      <c r="A59" s="4" t="s">
        <v>26</v>
      </c>
      <c r="B59" s="4">
        <v>-3</v>
      </c>
    </row>
    <row r="60" spans="1:2" x14ac:dyDescent="0.3">
      <c r="A60" s="5" t="s">
        <v>27</v>
      </c>
      <c r="B60" s="5">
        <f>B58+B59+B55</f>
        <v>52.64</v>
      </c>
    </row>
    <row r="61" spans="1:2" x14ac:dyDescent="0.3">
      <c r="A61" s="5" t="s">
        <v>28</v>
      </c>
      <c r="B61" s="5">
        <f>(B55/B58)*100</f>
        <v>35.773548072230369</v>
      </c>
    </row>
    <row r="63" spans="1:2" x14ac:dyDescent="0.3">
      <c r="A63" s="2" t="s">
        <v>29</v>
      </c>
      <c r="B63" s="2"/>
    </row>
    <row r="64" spans="1:2" x14ac:dyDescent="0.3">
      <c r="A64" s="5" t="s">
        <v>30</v>
      </c>
      <c r="B64" s="5">
        <f>B55</f>
        <v>14.660000000000002</v>
      </c>
    </row>
    <row r="65" spans="1:3" x14ac:dyDescent="0.3">
      <c r="A65" s="5" t="s">
        <v>31</v>
      </c>
      <c r="B65" s="5">
        <f>B27</f>
        <v>5.05</v>
      </c>
    </row>
    <row r="66" spans="1:3" x14ac:dyDescent="0.3">
      <c r="A66" s="5" t="s">
        <v>106</v>
      </c>
      <c r="B66" s="5">
        <f>B19</f>
        <v>3.7900200000000002</v>
      </c>
    </row>
    <row r="67" spans="1:3" x14ac:dyDescent="0.3">
      <c r="A67" s="5" t="s">
        <v>33</v>
      </c>
      <c r="B67" s="5">
        <f>B64+B65+B66</f>
        <v>23.500019999999999</v>
      </c>
    </row>
    <row r="68" spans="1:3" x14ac:dyDescent="0.3">
      <c r="A68" s="4" t="s">
        <v>63</v>
      </c>
      <c r="B68" s="4">
        <v>29.01</v>
      </c>
      <c r="C68" t="s">
        <v>138</v>
      </c>
    </row>
    <row r="69" spans="1:3" x14ac:dyDescent="0.3">
      <c r="A69" s="5" t="s">
        <v>34</v>
      </c>
      <c r="B69" s="5">
        <f>ROUNDUP(-(B7*0.2-B68),2)</f>
        <v>-9.77</v>
      </c>
    </row>
    <row r="70" spans="1:3" x14ac:dyDescent="0.3">
      <c r="A70" s="4" t="s">
        <v>35</v>
      </c>
      <c r="B70" s="4">
        <v>10.7</v>
      </c>
      <c r="C70" t="s">
        <v>145</v>
      </c>
    </row>
    <row r="71" spans="1:3" x14ac:dyDescent="0.3">
      <c r="A71" s="5" t="s">
        <v>36</v>
      </c>
      <c r="B71" s="5">
        <f>B67+B69+B70</f>
        <v>24.430019999999999</v>
      </c>
    </row>
    <row r="73" spans="1:3" x14ac:dyDescent="0.3">
      <c r="A73" s="2" t="s">
        <v>37</v>
      </c>
      <c r="B73" s="2"/>
    </row>
    <row r="74" spans="1:3" x14ac:dyDescent="0.3">
      <c r="A74" s="6" t="s">
        <v>38</v>
      </c>
      <c r="B74" s="6"/>
    </row>
    <row r="75" spans="1:3" x14ac:dyDescent="0.3">
      <c r="A75" s="5" t="s">
        <v>39</v>
      </c>
      <c r="B75" s="5">
        <f>B7*0.8</f>
        <v>155.11427200000003</v>
      </c>
    </row>
    <row r="76" spans="1:3" x14ac:dyDescent="0.3">
      <c r="A76" s="5" t="s">
        <v>40</v>
      </c>
      <c r="B76" s="5">
        <f>B68</f>
        <v>29.01</v>
      </c>
    </row>
    <row r="77" spans="1:3" x14ac:dyDescent="0.3">
      <c r="A77" s="4" t="s">
        <v>108</v>
      </c>
      <c r="B77" s="4">
        <v>0</v>
      </c>
    </row>
    <row r="78" spans="1:3" x14ac:dyDescent="0.3">
      <c r="A78" s="5" t="s">
        <v>61</v>
      </c>
      <c r="B78" s="5">
        <f>B77+B48</f>
        <v>10</v>
      </c>
    </row>
    <row r="79" spans="1:3" x14ac:dyDescent="0.3">
      <c r="A79" s="5" t="s">
        <v>42</v>
      </c>
      <c r="B79" s="5">
        <f>B75+B76+B78</f>
        <v>194.12427200000002</v>
      </c>
    </row>
    <row r="80" spans="1:3" x14ac:dyDescent="0.3">
      <c r="A80" s="6" t="s">
        <v>43</v>
      </c>
      <c r="B80" s="6"/>
    </row>
    <row r="81" spans="1:3" x14ac:dyDescent="0.3">
      <c r="A81" s="4" t="s">
        <v>112</v>
      </c>
      <c r="B81" s="4">
        <f>(70000*350)/1000000</f>
        <v>24.5</v>
      </c>
      <c r="C81" t="s">
        <v>120</v>
      </c>
    </row>
    <row r="82" spans="1:3" x14ac:dyDescent="0.3">
      <c r="A82" s="5" t="s">
        <v>114</v>
      </c>
      <c r="B82" s="5">
        <f>B10</f>
        <v>2.64</v>
      </c>
    </row>
    <row r="83" spans="1:3" x14ac:dyDescent="0.3">
      <c r="A83" s="5" t="s">
        <v>113</v>
      </c>
      <c r="B83" s="5">
        <f>SUM(B81:B82)</f>
        <v>27.14</v>
      </c>
    </row>
    <row r="84" spans="1:3" x14ac:dyDescent="0.3">
      <c r="A84" s="5" t="s">
        <v>109</v>
      </c>
      <c r="B84" s="5">
        <f>SUM(B13:B18,B22)</f>
        <v>102.6104</v>
      </c>
    </row>
    <row r="85" spans="1:3" x14ac:dyDescent="0.3">
      <c r="A85" s="5" t="s">
        <v>110</v>
      </c>
      <c r="B85" s="5">
        <f>SUM(B29:B34,B36:B40,B11)</f>
        <v>39.835000000000001</v>
      </c>
    </row>
    <row r="86" spans="1:3" x14ac:dyDescent="0.3">
      <c r="A86" s="5" t="s">
        <v>47</v>
      </c>
      <c r="B86" s="5">
        <f>-B49</f>
        <v>0.89999999999999991</v>
      </c>
    </row>
    <row r="87" spans="1:3" x14ac:dyDescent="0.3">
      <c r="A87" s="5" t="s">
        <v>48</v>
      </c>
      <c r="B87" s="5">
        <f>-B54</f>
        <v>12.01</v>
      </c>
    </row>
    <row r="88" spans="1:3" x14ac:dyDescent="0.3">
      <c r="A88" s="4" t="s">
        <v>49</v>
      </c>
      <c r="B88" s="4">
        <v>21.5</v>
      </c>
      <c r="C88" t="s">
        <v>142</v>
      </c>
    </row>
    <row r="89" spans="1:3" x14ac:dyDescent="0.3">
      <c r="A89" s="4" t="s">
        <v>50</v>
      </c>
      <c r="B89" s="4">
        <v>4</v>
      </c>
      <c r="C89" t="s">
        <v>117</v>
      </c>
    </row>
    <row r="90" spans="1:3" x14ac:dyDescent="0.3">
      <c r="A90" s="5" t="s">
        <v>51</v>
      </c>
      <c r="B90" s="5">
        <f>-B59</f>
        <v>3</v>
      </c>
    </row>
    <row r="91" spans="1:3" x14ac:dyDescent="0.3">
      <c r="A91" s="5" t="s">
        <v>52</v>
      </c>
      <c r="B91" s="5">
        <f>SUM(B83:B90)</f>
        <v>210.99540000000002</v>
      </c>
    </row>
    <row r="92" spans="1:3" x14ac:dyDescent="0.3">
      <c r="A92" s="6" t="s">
        <v>111</v>
      </c>
      <c r="B92" s="6"/>
    </row>
    <row r="93" spans="1:3" x14ac:dyDescent="0.3">
      <c r="A93" s="5" t="s">
        <v>53</v>
      </c>
      <c r="B93" s="5">
        <f>B79-B91</f>
        <v>-16.871127999999999</v>
      </c>
    </row>
    <row r="94" spans="1:3" x14ac:dyDescent="0.3">
      <c r="A94" s="4" t="s">
        <v>54</v>
      </c>
      <c r="B94" s="4">
        <v>26.49</v>
      </c>
      <c r="C94" t="s">
        <v>118</v>
      </c>
    </row>
    <row r="95" spans="1:3" x14ac:dyDescent="0.3">
      <c r="A95" s="5" t="s">
        <v>55</v>
      </c>
      <c r="B95" s="5">
        <f>B93+B94</f>
        <v>9.6188719999999996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3159E-BFC9-4123-BC4A-CE4CD46F5094}">
  <dimension ref="A1:CB95"/>
  <sheetViews>
    <sheetView tabSelected="1" topLeftCell="A28" zoomScale="130" zoomScaleNormal="130" workbookViewId="0">
      <selection activeCell="B41" sqref="B41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5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134</v>
      </c>
      <c r="B3" s="10">
        <v>55000</v>
      </c>
    </row>
    <row r="4" spans="1:80" x14ac:dyDescent="0.3">
      <c r="A4" s="4" t="s">
        <v>135</v>
      </c>
      <c r="B4" s="4">
        <v>3170</v>
      </c>
    </row>
    <row r="5" spans="1:80" x14ac:dyDescent="0.3">
      <c r="A5" s="4" t="s">
        <v>136</v>
      </c>
      <c r="B5" s="4">
        <v>6000</v>
      </c>
    </row>
    <row r="6" spans="1:80" x14ac:dyDescent="0.3">
      <c r="A6" s="4" t="s">
        <v>137</v>
      </c>
      <c r="B6" s="4">
        <v>3257.14</v>
      </c>
      <c r="C6" t="s">
        <v>139</v>
      </c>
    </row>
    <row r="7" spans="1:80" x14ac:dyDescent="0.3">
      <c r="A7" s="5" t="s">
        <v>4</v>
      </c>
      <c r="B7" s="5">
        <f>(B3*B4/1000000)+(B5*B6/1000000)</f>
        <v>193.89284000000001</v>
      </c>
    </row>
    <row r="8" spans="1:80" s="6" customFormat="1" x14ac:dyDescent="0.3">
      <c r="A8" s="6" t="s">
        <v>77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</row>
    <row r="9" spans="1:80" x14ac:dyDescent="0.3">
      <c r="A9" s="4" t="s">
        <v>67</v>
      </c>
      <c r="B9" s="4">
        <f>(66000*350)/1000000</f>
        <v>23.1</v>
      </c>
      <c r="C9" t="s">
        <v>143</v>
      </c>
    </row>
    <row r="10" spans="1:80" x14ac:dyDescent="0.3">
      <c r="A10" s="4" t="s">
        <v>93</v>
      </c>
      <c r="B10" s="4">
        <f>(66000*40)/1000000</f>
        <v>2.64</v>
      </c>
      <c r="C10" s="9" t="s">
        <v>129</v>
      </c>
    </row>
    <row r="11" spans="1:80" x14ac:dyDescent="0.3">
      <c r="A11" s="4" t="s">
        <v>94</v>
      </c>
      <c r="B11" s="4">
        <f>(B3*25+B5*75)/1000000</f>
        <v>1.825</v>
      </c>
      <c r="C11" t="s">
        <v>130</v>
      </c>
    </row>
    <row r="12" spans="1:80" x14ac:dyDescent="0.3">
      <c r="A12" s="6" t="s">
        <v>79</v>
      </c>
      <c r="B12" s="6"/>
      <c r="C12" t="s">
        <v>69</v>
      </c>
    </row>
    <row r="13" spans="1:80" x14ac:dyDescent="0.3">
      <c r="A13" s="4" t="s">
        <v>70</v>
      </c>
      <c r="B13" s="4">
        <f>(((975-(975*0.05))+450)*32000)/1000000</f>
        <v>44.04</v>
      </c>
      <c r="C13" t="s">
        <v>122</v>
      </c>
    </row>
    <row r="14" spans="1:80" x14ac:dyDescent="0.3">
      <c r="A14" s="4" t="s">
        <v>71</v>
      </c>
      <c r="B14" s="4">
        <f>(300*30000)/1000000</f>
        <v>9</v>
      </c>
      <c r="C14" t="s">
        <v>123</v>
      </c>
    </row>
    <row r="15" spans="1:80" x14ac:dyDescent="0.3">
      <c r="A15" s="4" t="s">
        <v>72</v>
      </c>
      <c r="B15" s="4">
        <f>(((120-(120*0.05))+50)*43000)/1000000</f>
        <v>7.0519999999999996</v>
      </c>
      <c r="C15" t="s">
        <v>126</v>
      </c>
    </row>
    <row r="16" spans="1:80" x14ac:dyDescent="0.3">
      <c r="A16" s="4" t="s">
        <v>73</v>
      </c>
      <c r="B16" s="4">
        <f>(((120-(120*0.05))+10)*47000)/1000000</f>
        <v>5.8280000000000003</v>
      </c>
      <c r="C16" s="11" t="s">
        <v>141</v>
      </c>
    </row>
    <row r="17" spans="1:80" x14ac:dyDescent="0.3">
      <c r="A17" s="4" t="s">
        <v>74</v>
      </c>
      <c r="B17" s="4">
        <f>(34*32000)/1000000</f>
        <v>1.0880000000000001</v>
      </c>
    </row>
    <row r="18" spans="1:80" x14ac:dyDescent="0.3">
      <c r="A18" s="4" t="s">
        <v>91</v>
      </c>
      <c r="B18" s="4">
        <f>(510*14000+1377*1200)/1000000</f>
        <v>8.7924000000000007</v>
      </c>
      <c r="C18" t="s">
        <v>144</v>
      </c>
    </row>
    <row r="19" spans="1:80" x14ac:dyDescent="0.3">
      <c r="A19" s="5" t="s">
        <v>92</v>
      </c>
      <c r="B19" s="5">
        <f>SUM(B13:B18)*0.05</f>
        <v>3.7900200000000002</v>
      </c>
      <c r="C19" t="s">
        <v>127</v>
      </c>
    </row>
    <row r="20" spans="1:80" s="6" customFormat="1" x14ac:dyDescent="0.3">
      <c r="A20" s="6" t="s">
        <v>78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</row>
    <row r="21" spans="1:80" x14ac:dyDescent="0.3">
      <c r="A21" s="4" t="s">
        <v>89</v>
      </c>
      <c r="B21" s="4">
        <v>40</v>
      </c>
      <c r="C21" t="s">
        <v>90</v>
      </c>
    </row>
    <row r="22" spans="1:80" x14ac:dyDescent="0.3">
      <c r="A22" s="5" t="s">
        <v>75</v>
      </c>
      <c r="B22" s="5">
        <f>ROUNDUP(SUM(B13:B17)*(B21/100),2)</f>
        <v>26.810000000000002</v>
      </c>
    </row>
    <row r="23" spans="1:80" s="6" customFormat="1" x14ac:dyDescent="0.3">
      <c r="A23" s="6" t="s">
        <v>80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</row>
    <row r="24" spans="1:80" x14ac:dyDescent="0.3">
      <c r="A24" s="4" t="s">
        <v>86</v>
      </c>
      <c r="B24" s="4">
        <v>4</v>
      </c>
      <c r="C24" t="s">
        <v>121</v>
      </c>
    </row>
    <row r="25" spans="1:80" x14ac:dyDescent="0.3">
      <c r="A25" s="4" t="s">
        <v>76</v>
      </c>
      <c r="B25" s="4">
        <v>0.8</v>
      </c>
    </row>
    <row r="26" spans="1:80" x14ac:dyDescent="0.3">
      <c r="A26" s="1" t="s">
        <v>10</v>
      </c>
      <c r="B26" s="1">
        <v>0.25</v>
      </c>
    </row>
    <row r="27" spans="1:80" x14ac:dyDescent="0.3">
      <c r="A27" s="5" t="s">
        <v>101</v>
      </c>
      <c r="B27" s="5">
        <f>SUM(B24:B26)</f>
        <v>5.05</v>
      </c>
    </row>
    <row r="28" spans="1:80" s="4" customFormat="1" x14ac:dyDescent="0.3">
      <c r="A28" s="6" t="s">
        <v>81</v>
      </c>
      <c r="B28" s="6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</row>
    <row r="29" spans="1:80" x14ac:dyDescent="0.3">
      <c r="A29" s="4" t="s">
        <v>82</v>
      </c>
      <c r="B29" s="4">
        <v>4.75</v>
      </c>
      <c r="C29" t="s">
        <v>131</v>
      </c>
    </row>
    <row r="30" spans="1:80" x14ac:dyDescent="0.3">
      <c r="A30" s="4" t="s">
        <v>83</v>
      </c>
      <c r="B30" s="4">
        <v>8</v>
      </c>
    </row>
    <row r="31" spans="1:80" x14ac:dyDescent="0.3">
      <c r="A31" s="4" t="s">
        <v>87</v>
      </c>
      <c r="B31" s="4">
        <v>2</v>
      </c>
    </row>
    <row r="32" spans="1:80" x14ac:dyDescent="0.3">
      <c r="A32" s="4" t="s">
        <v>95</v>
      </c>
      <c r="B32" s="4">
        <v>0.7</v>
      </c>
      <c r="C32" t="s">
        <v>124</v>
      </c>
    </row>
    <row r="33" spans="1:3" x14ac:dyDescent="0.3">
      <c r="A33" s="4" t="s">
        <v>102</v>
      </c>
      <c r="B33" s="4">
        <v>2</v>
      </c>
      <c r="C33" t="s">
        <v>125</v>
      </c>
    </row>
    <row r="34" spans="1:3" x14ac:dyDescent="0.3">
      <c r="A34" s="4" t="s">
        <v>103</v>
      </c>
      <c r="B34" s="4">
        <f>(5000*100+4000*15)/1000000</f>
        <v>0.56000000000000005</v>
      </c>
      <c r="C34" t="s">
        <v>128</v>
      </c>
    </row>
    <row r="35" spans="1:3" x14ac:dyDescent="0.3">
      <c r="A35" s="6" t="s">
        <v>88</v>
      </c>
      <c r="B35" s="6"/>
    </row>
    <row r="36" spans="1:3" x14ac:dyDescent="0.3">
      <c r="A36" s="4" t="s">
        <v>96</v>
      </c>
      <c r="B36" s="4">
        <v>6</v>
      </c>
    </row>
    <row r="37" spans="1:3" x14ac:dyDescent="0.3">
      <c r="A37" s="4" t="s">
        <v>140</v>
      </c>
      <c r="B37" s="4">
        <v>5</v>
      </c>
    </row>
    <row r="38" spans="1:3" x14ac:dyDescent="0.3">
      <c r="A38" s="4" t="s">
        <v>97</v>
      </c>
      <c r="B38" s="4">
        <v>3.5</v>
      </c>
    </row>
    <row r="39" spans="1:3" x14ac:dyDescent="0.3">
      <c r="A39" s="4" t="s">
        <v>98</v>
      </c>
      <c r="B39" s="4">
        <v>4.5</v>
      </c>
    </row>
    <row r="40" spans="1:3" x14ac:dyDescent="0.3">
      <c r="A40" s="4" t="s">
        <v>99</v>
      </c>
      <c r="B40" s="4">
        <v>1</v>
      </c>
    </row>
    <row r="41" spans="1:3" x14ac:dyDescent="0.3">
      <c r="A41" s="1" t="s">
        <v>133</v>
      </c>
      <c r="B41" s="1">
        <f>-(5000*2140)/1000000</f>
        <v>-10.7</v>
      </c>
      <c r="C41" t="s">
        <v>132</v>
      </c>
    </row>
    <row r="42" spans="1:3" x14ac:dyDescent="0.3">
      <c r="A42" s="5" t="s">
        <v>85</v>
      </c>
      <c r="B42" s="5">
        <f>-SUM(B9:B11,(B13:B19),B22,B27,(B29:B34),B36:B41)</f>
        <v>-166.32542000000001</v>
      </c>
    </row>
    <row r="43" spans="1:3" x14ac:dyDescent="0.3">
      <c r="A43" s="6" t="s">
        <v>84</v>
      </c>
      <c r="B43" s="6"/>
    </row>
    <row r="44" spans="1:3" x14ac:dyDescent="0.3">
      <c r="A44" s="5" t="s">
        <v>104</v>
      </c>
      <c r="B44" s="5">
        <f>ROUNDUP(SUM(B7,B42),2)</f>
        <v>27.57</v>
      </c>
    </row>
    <row r="45" spans="1:3" x14ac:dyDescent="0.3">
      <c r="A45" s="4" t="s">
        <v>13</v>
      </c>
      <c r="B45" s="4">
        <v>6</v>
      </c>
      <c r="C45" s="7" t="s">
        <v>65</v>
      </c>
    </row>
    <row r="46" spans="1:3" x14ac:dyDescent="0.3">
      <c r="A46" s="4" t="s">
        <v>14</v>
      </c>
      <c r="B46" s="4">
        <v>6</v>
      </c>
      <c r="C46" s="7" t="s">
        <v>105</v>
      </c>
    </row>
    <row r="47" spans="1:3" x14ac:dyDescent="0.3">
      <c r="A47" s="4" t="s">
        <v>15</v>
      </c>
      <c r="B47" s="4">
        <v>5</v>
      </c>
    </row>
    <row r="48" spans="1:3" x14ac:dyDescent="0.3">
      <c r="A48" s="4" t="s">
        <v>66</v>
      </c>
      <c r="B48" s="4">
        <v>10</v>
      </c>
    </row>
    <row r="49" spans="1:2" x14ac:dyDescent="0.3">
      <c r="A49" s="5" t="s">
        <v>17</v>
      </c>
      <c r="B49" s="5">
        <f>-(B47*(B45/100) + B48*(B46/100))</f>
        <v>-0.89999999999999991</v>
      </c>
    </row>
    <row r="50" spans="1:2" x14ac:dyDescent="0.3">
      <c r="A50" s="5" t="s">
        <v>18</v>
      </c>
      <c r="B50" s="5">
        <f>B44+B49</f>
        <v>26.67</v>
      </c>
    </row>
    <row r="51" spans="1:2" x14ac:dyDescent="0.3">
      <c r="A51" s="4" t="s">
        <v>19</v>
      </c>
      <c r="B51" s="4">
        <v>0</v>
      </c>
    </row>
    <row r="52" spans="1:2" x14ac:dyDescent="0.3">
      <c r="A52" s="5" t="s">
        <v>20</v>
      </c>
      <c r="B52" s="5">
        <f>MAX(0, B50-B51)</f>
        <v>26.67</v>
      </c>
    </row>
    <row r="53" spans="1:2" x14ac:dyDescent="0.3">
      <c r="A53" s="1" t="s">
        <v>21</v>
      </c>
      <c r="B53" s="1">
        <v>45</v>
      </c>
    </row>
    <row r="54" spans="1:2" x14ac:dyDescent="0.3">
      <c r="A54" s="5" t="s">
        <v>22</v>
      </c>
      <c r="B54" s="5">
        <f>ROUNDUP(-B52*(B53/100),2)</f>
        <v>-12.01</v>
      </c>
    </row>
    <row r="55" spans="1:2" x14ac:dyDescent="0.3">
      <c r="A55" s="5" t="s">
        <v>23</v>
      </c>
      <c r="B55" s="5">
        <f>B50+B54</f>
        <v>14.660000000000002</v>
      </c>
    </row>
    <row r="57" spans="1:2" x14ac:dyDescent="0.3">
      <c r="A57" s="2" t="s">
        <v>24</v>
      </c>
      <c r="B57" s="2"/>
    </row>
    <row r="58" spans="1:2" x14ac:dyDescent="0.3">
      <c r="A58" s="4" t="s">
        <v>25</v>
      </c>
      <c r="B58" s="4">
        <v>40.98</v>
      </c>
    </row>
    <row r="59" spans="1:2" x14ac:dyDescent="0.3">
      <c r="A59" s="4" t="s">
        <v>26</v>
      </c>
      <c r="B59" s="4">
        <v>-3</v>
      </c>
    </row>
    <row r="60" spans="1:2" x14ac:dyDescent="0.3">
      <c r="A60" s="5" t="s">
        <v>27</v>
      </c>
      <c r="B60" s="5">
        <f>B58+B59+B55</f>
        <v>52.64</v>
      </c>
    </row>
    <row r="61" spans="1:2" x14ac:dyDescent="0.3">
      <c r="A61" s="5" t="s">
        <v>28</v>
      </c>
      <c r="B61" s="5">
        <f>(B55/B58)*100</f>
        <v>35.773548072230369</v>
      </c>
    </row>
    <row r="63" spans="1:2" x14ac:dyDescent="0.3">
      <c r="A63" s="2" t="s">
        <v>29</v>
      </c>
      <c r="B63" s="2"/>
    </row>
    <row r="64" spans="1:2" x14ac:dyDescent="0.3">
      <c r="A64" s="5" t="s">
        <v>30</v>
      </c>
      <c r="B64" s="5">
        <f>B55</f>
        <v>14.660000000000002</v>
      </c>
    </row>
    <row r="65" spans="1:3" x14ac:dyDescent="0.3">
      <c r="A65" s="5" t="s">
        <v>31</v>
      </c>
      <c r="B65" s="5">
        <f>B27</f>
        <v>5.05</v>
      </c>
    </row>
    <row r="66" spans="1:3" x14ac:dyDescent="0.3">
      <c r="A66" s="5" t="s">
        <v>106</v>
      </c>
      <c r="B66" s="5">
        <f>B19</f>
        <v>3.7900200000000002</v>
      </c>
    </row>
    <row r="67" spans="1:3" x14ac:dyDescent="0.3">
      <c r="A67" s="5" t="s">
        <v>33</v>
      </c>
      <c r="B67" s="5">
        <f>B64+B65+B66</f>
        <v>23.500019999999999</v>
      </c>
    </row>
    <row r="68" spans="1:3" x14ac:dyDescent="0.3">
      <c r="A68" s="4" t="s">
        <v>63</v>
      </c>
      <c r="B68" s="4">
        <v>29.01</v>
      </c>
      <c r="C68" t="s">
        <v>138</v>
      </c>
    </row>
    <row r="69" spans="1:3" x14ac:dyDescent="0.3">
      <c r="A69" s="5" t="s">
        <v>34</v>
      </c>
      <c r="B69" s="5">
        <f>ROUNDUP(-(B7*0.2-B68),2)</f>
        <v>-9.77</v>
      </c>
    </row>
    <row r="70" spans="1:3" x14ac:dyDescent="0.3">
      <c r="A70" s="4" t="s">
        <v>35</v>
      </c>
      <c r="B70" s="4">
        <v>10.7</v>
      </c>
      <c r="C70" t="s">
        <v>145</v>
      </c>
    </row>
    <row r="71" spans="1:3" x14ac:dyDescent="0.3">
      <c r="A71" s="5" t="s">
        <v>36</v>
      </c>
      <c r="B71" s="5">
        <f>B67+B69+B70</f>
        <v>24.430019999999999</v>
      </c>
    </row>
    <row r="73" spans="1:3" x14ac:dyDescent="0.3">
      <c r="A73" s="2" t="s">
        <v>37</v>
      </c>
      <c r="B73" s="2"/>
    </row>
    <row r="74" spans="1:3" x14ac:dyDescent="0.3">
      <c r="A74" s="6" t="s">
        <v>38</v>
      </c>
      <c r="B74" s="6"/>
    </row>
    <row r="75" spans="1:3" x14ac:dyDescent="0.3">
      <c r="A75" s="5" t="s">
        <v>39</v>
      </c>
      <c r="B75" s="5">
        <f>B7*0.8</f>
        <v>155.11427200000003</v>
      </c>
    </row>
    <row r="76" spans="1:3" x14ac:dyDescent="0.3">
      <c r="A76" s="5" t="s">
        <v>40</v>
      </c>
      <c r="B76" s="5">
        <f>B68</f>
        <v>29.01</v>
      </c>
    </row>
    <row r="77" spans="1:3" x14ac:dyDescent="0.3">
      <c r="A77" s="4" t="s">
        <v>108</v>
      </c>
      <c r="B77" s="4">
        <v>0</v>
      </c>
    </row>
    <row r="78" spans="1:3" x14ac:dyDescent="0.3">
      <c r="A78" s="5" t="s">
        <v>61</v>
      </c>
      <c r="B78" s="5">
        <f>B77+B48</f>
        <v>10</v>
      </c>
    </row>
    <row r="79" spans="1:3" x14ac:dyDescent="0.3">
      <c r="A79" s="5" t="s">
        <v>42</v>
      </c>
      <c r="B79" s="5">
        <f>B75+B76+B78</f>
        <v>194.12427200000002</v>
      </c>
    </row>
    <row r="80" spans="1:3" x14ac:dyDescent="0.3">
      <c r="A80" s="6" t="s">
        <v>43</v>
      </c>
      <c r="B80" s="6"/>
    </row>
    <row r="81" spans="1:3" x14ac:dyDescent="0.3">
      <c r="A81" s="4" t="s">
        <v>112</v>
      </c>
      <c r="B81" s="4">
        <f>(70000*350)/1000000</f>
        <v>24.5</v>
      </c>
      <c r="C81" t="s">
        <v>120</v>
      </c>
    </row>
    <row r="82" spans="1:3" x14ac:dyDescent="0.3">
      <c r="A82" s="5" t="s">
        <v>114</v>
      </c>
      <c r="B82" s="5">
        <f>B10</f>
        <v>2.64</v>
      </c>
    </row>
    <row r="83" spans="1:3" x14ac:dyDescent="0.3">
      <c r="A83" s="5" t="s">
        <v>113</v>
      </c>
      <c r="B83" s="5">
        <f>SUM(B81:B82)</f>
        <v>27.14</v>
      </c>
    </row>
    <row r="84" spans="1:3" x14ac:dyDescent="0.3">
      <c r="A84" s="5" t="s">
        <v>109</v>
      </c>
      <c r="B84" s="5">
        <f>SUM(B13:B18,B22)</f>
        <v>102.6104</v>
      </c>
    </row>
    <row r="85" spans="1:3" x14ac:dyDescent="0.3">
      <c r="A85" s="5" t="s">
        <v>110</v>
      </c>
      <c r="B85" s="5">
        <f>SUM(B29:B34,B36:B40,B11)</f>
        <v>39.835000000000001</v>
      </c>
    </row>
    <row r="86" spans="1:3" x14ac:dyDescent="0.3">
      <c r="A86" s="5" t="s">
        <v>47</v>
      </c>
      <c r="B86" s="5">
        <f>-B49</f>
        <v>0.89999999999999991</v>
      </c>
    </row>
    <row r="87" spans="1:3" x14ac:dyDescent="0.3">
      <c r="A87" s="5" t="s">
        <v>48</v>
      </c>
      <c r="B87" s="5">
        <f>-B54</f>
        <v>12.01</v>
      </c>
    </row>
    <row r="88" spans="1:3" x14ac:dyDescent="0.3">
      <c r="A88" s="4" t="s">
        <v>49</v>
      </c>
      <c r="B88" s="4">
        <v>21.5</v>
      </c>
      <c r="C88" t="s">
        <v>142</v>
      </c>
    </row>
    <row r="89" spans="1:3" x14ac:dyDescent="0.3">
      <c r="A89" s="4" t="s">
        <v>50</v>
      </c>
      <c r="B89" s="4">
        <v>4</v>
      </c>
      <c r="C89" t="s">
        <v>117</v>
      </c>
    </row>
    <row r="90" spans="1:3" x14ac:dyDescent="0.3">
      <c r="A90" s="5" t="s">
        <v>51</v>
      </c>
      <c r="B90" s="5">
        <f>-B59</f>
        <v>3</v>
      </c>
    </row>
    <row r="91" spans="1:3" x14ac:dyDescent="0.3">
      <c r="A91" s="5" t="s">
        <v>52</v>
      </c>
      <c r="B91" s="5">
        <f>SUM(B83:B90)</f>
        <v>210.99540000000002</v>
      </c>
    </row>
    <row r="92" spans="1:3" x14ac:dyDescent="0.3">
      <c r="A92" s="6" t="s">
        <v>111</v>
      </c>
      <c r="B92" s="6"/>
    </row>
    <row r="93" spans="1:3" x14ac:dyDescent="0.3">
      <c r="A93" s="5" t="s">
        <v>53</v>
      </c>
      <c r="B93" s="5">
        <f>B79-B91</f>
        <v>-16.871127999999999</v>
      </c>
    </row>
    <row r="94" spans="1:3" x14ac:dyDescent="0.3">
      <c r="A94" s="4" t="s">
        <v>54</v>
      </c>
      <c r="B94" s="4">
        <v>26.49</v>
      </c>
      <c r="C94" t="s">
        <v>118</v>
      </c>
    </row>
    <row r="95" spans="1:3" x14ac:dyDescent="0.3">
      <c r="A95" s="5" t="s">
        <v>55</v>
      </c>
      <c r="B95" s="5">
        <f>B93+B94</f>
        <v>9.6188719999999996</v>
      </c>
    </row>
  </sheetData>
  <pageMargins left="0.75" right="0.75" top="1" bottom="1" header="0.5" footer="0.5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Sandbox Periode</vt:lpstr>
      <vt:lpstr>Periode 1</vt:lpstr>
      <vt:lpstr>Periode 2 ALT</vt:lpstr>
      <vt:lpstr>Periode 2 </vt:lpstr>
      <vt:lpstr>Periode 3 ALT</vt:lpstr>
      <vt:lpstr>Periode 3</vt:lpstr>
      <vt:lpstr>Periode 4</vt:lpstr>
      <vt:lpstr>Periode 5 DRAFT</vt:lpstr>
      <vt:lpstr>Periode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2026-05-07T08:07:19Z</dcterms:modified>
</cp:coreProperties>
</file>