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96db5acea2ea2686/Hochschule/Sechstes Semester/Business Simulation/Finance Tool/"/>
    </mc:Choice>
  </mc:AlternateContent>
  <xr:revisionPtr revIDLastSave="462" documentId="13_ncr:1_{F97B8132-19C7-41E8-9E6A-7064A538CFB7}" xr6:coauthVersionLast="47" xr6:coauthVersionMax="47" xr10:uidLastSave="{3997C79F-54F7-4B16-890A-9B3B2AFEB21D}"/>
  <bookViews>
    <workbookView xWindow="-96" yWindow="0" windowWidth="15552" windowHeight="17376" firstSheet="3" activeTab="5" xr2:uid="{00000000-000D-0000-FFFF-FFFF00000000}"/>
  </bookViews>
  <sheets>
    <sheet name="Formeln" sheetId="3" r:id="rId1"/>
    <sheet name="Sandbox Periode" sheetId="6" r:id="rId2"/>
    <sheet name="Periode 1" sheetId="1" r:id="rId3"/>
    <sheet name="Periode 2" sheetId="2" r:id="rId4"/>
    <sheet name="Periode 3 ALT" sheetId="4" r:id="rId5"/>
    <sheet name="Periode 3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7" i="8" l="1"/>
  <c r="B83" i="8"/>
  <c r="B82" i="8"/>
  <c r="B79" i="8"/>
  <c r="B80" i="8" s="1"/>
  <c r="B75" i="8"/>
  <c r="B67" i="8"/>
  <c r="B63" i="8"/>
  <c r="B46" i="8"/>
  <c r="B25" i="8"/>
  <c r="B62" i="8" s="1"/>
  <c r="B20" i="8"/>
  <c r="B81" i="8" s="1"/>
  <c r="B5" i="8"/>
  <c r="B72" i="8" s="1"/>
  <c r="B76" i="8" s="1"/>
  <c r="B88" i="6"/>
  <c r="B82" i="6"/>
  <c r="B80" i="6"/>
  <c r="B79" i="6"/>
  <c r="B63" i="6"/>
  <c r="B67" i="6"/>
  <c r="B5" i="6"/>
  <c r="B25" i="6"/>
  <c r="B62" i="6" s="1"/>
  <c r="B20" i="6"/>
  <c r="B81" i="6" s="1"/>
  <c r="B87" i="6"/>
  <c r="B75" i="6"/>
  <c r="B46" i="6"/>
  <c r="B83" i="6" s="1"/>
  <c r="B39" i="4"/>
  <c r="B57" i="4"/>
  <c r="B52" i="4"/>
  <c r="B51" i="4"/>
  <c r="B50" i="4"/>
  <c r="B47" i="4"/>
  <c r="B34" i="4"/>
  <c r="B18" i="4"/>
  <c r="B53" i="4" s="1"/>
  <c r="B5" i="4"/>
  <c r="B13" i="4" s="1"/>
  <c r="B39" i="2"/>
  <c r="B34" i="2"/>
  <c r="B47" i="2"/>
  <c r="B30" i="1"/>
  <c r="B29" i="1"/>
  <c r="B58" i="2"/>
  <c r="B53" i="2"/>
  <c r="B52" i="2"/>
  <c r="B51" i="2"/>
  <c r="B18" i="2"/>
  <c r="B54" i="2" s="1"/>
  <c r="B5" i="2"/>
  <c r="B13" i="2" s="1"/>
  <c r="B38" i="1"/>
  <c r="B37" i="1"/>
  <c r="B56" i="1"/>
  <c r="B51" i="1"/>
  <c r="B50" i="1"/>
  <c r="B49" i="1"/>
  <c r="B34" i="1"/>
  <c r="B18" i="1"/>
  <c r="B52" i="1" s="1"/>
  <c r="B5" i="1"/>
  <c r="B43" i="1" s="1"/>
  <c r="B46" i="1" s="1"/>
  <c r="B39" i="8" l="1"/>
  <c r="B41" i="8"/>
  <c r="B47" i="8" s="1"/>
  <c r="B66" i="8"/>
  <c r="B39" i="6"/>
  <c r="B41" i="6" s="1"/>
  <c r="B47" i="6" s="1"/>
  <c r="B66" i="6"/>
  <c r="B72" i="6"/>
  <c r="B76" i="6" s="1"/>
  <c r="B38" i="4"/>
  <c r="B44" i="4"/>
  <c r="B48" i="4" s="1"/>
  <c r="B19" i="4"/>
  <c r="B21" i="4" s="1"/>
  <c r="B23" i="4" s="1"/>
  <c r="B54" i="4" s="1"/>
  <c r="B58" i="4" s="1"/>
  <c r="B60" i="4" s="1"/>
  <c r="B62" i="4" s="1"/>
  <c r="B38" i="2"/>
  <c r="B19" i="2"/>
  <c r="B21" i="2" s="1"/>
  <c r="B23" i="2" s="1"/>
  <c r="B55" i="2" s="1"/>
  <c r="B59" i="2" s="1"/>
  <c r="B44" i="2"/>
  <c r="B48" i="2" s="1"/>
  <c r="B13" i="1"/>
  <c r="B19" i="1" s="1"/>
  <c r="B49" i="8" l="1"/>
  <c r="B51" i="8" s="1"/>
  <c r="B84" i="8" s="1"/>
  <c r="B88" i="8" s="1"/>
  <c r="B90" i="8" s="1"/>
  <c r="B92" i="8" s="1"/>
  <c r="B24" i="4"/>
  <c r="B61" i="2"/>
  <c r="B63" i="2" s="1"/>
  <c r="B24" i="2"/>
  <c r="B33" i="2" s="1"/>
  <c r="B36" i="2" s="1"/>
  <c r="B40" i="2" s="1"/>
  <c r="B21" i="1"/>
  <c r="B23" i="1" s="1"/>
  <c r="B53" i="1" s="1"/>
  <c r="B57" i="1" s="1"/>
  <c r="B59" i="1" s="1"/>
  <c r="B61" i="1" s="1"/>
  <c r="B52" i="8" l="1"/>
  <c r="B49" i="6"/>
  <c r="B30" i="4"/>
  <c r="B29" i="4"/>
  <c r="B33" i="4"/>
  <c r="B36" i="4" s="1"/>
  <c r="B40" i="4" s="1"/>
  <c r="B29" i="2"/>
  <c r="B30" i="2" s="1"/>
  <c r="B24" i="1"/>
  <c r="B33" i="1" s="1"/>
  <c r="B36" i="1" s="1"/>
  <c r="B39" i="1" s="1"/>
  <c r="B61" i="8" l="1"/>
  <c r="B64" i="8" s="1"/>
  <c r="B68" i="8" s="1"/>
  <c r="B58" i="8"/>
  <c r="B57" i="8"/>
  <c r="B51" i="6"/>
  <c r="B84" i="6" s="1"/>
  <c r="B90" i="6" s="1"/>
  <c r="B92" i="6" s="1"/>
  <c r="B52" i="6" l="1"/>
  <c r="B57" i="6" s="1"/>
  <c r="B61" i="6"/>
  <c r="B64" i="6" s="1"/>
  <c r="B68" i="6" s="1"/>
  <c r="B58" i="6"/>
</calcChain>
</file>

<file path=xl/sharedStrings.xml><?xml version="1.0" encoding="utf-8"?>
<sst xmlns="http://schemas.openxmlformats.org/spreadsheetml/2006/main" count="392" uniqueCount="123">
  <si>
    <t>Position</t>
  </si>
  <si>
    <t>1. PLAN-GEWINN- UND VERLUSTRECHNUNG</t>
  </si>
  <si>
    <t>Geplante Absatzmenge (Stück)</t>
  </si>
  <si>
    <t>Geplanter Preis (EUR/Stück)</t>
  </si>
  <si>
    <t>Umsatzerlöse (MEUR)</t>
  </si>
  <si>
    <t>Geplante Herstellkosten (Material &amp; Fertigung) (MEUR)</t>
  </si>
  <si>
    <t>Geplante F&amp;E-Kosten (MEUR)</t>
  </si>
  <si>
    <t>Geplante Verwaltungskosten (MEUR)</t>
  </si>
  <si>
    <t>Geplante Marketing- &amp; Vertriebskosten (MEUR)</t>
  </si>
  <si>
    <t>Abschreibungen Anlagen Alt (MEUR)</t>
  </si>
  <si>
    <t>Abschreibungen Gebäude (MEUR)</t>
  </si>
  <si>
    <t>Abschreibungen Anlage Neu (MEUR)</t>
  </si>
  <si>
    <t>PLAN-EBIT (MEUR)</t>
  </si>
  <si>
    <t>Zinssatz Langfristig (ZL) in %</t>
  </si>
  <si>
    <t>Zinssatz Kurzfristig (ZK) in %</t>
  </si>
  <si>
    <t>Langfristige Kredite Bestand (Alt + Neu) (MEUR)</t>
  </si>
  <si>
    <t>Kurzfristige Kredite Bestand (MEUR)</t>
  </si>
  <si>
    <t>Plan-Zinsaufwand (MEUR)</t>
  </si>
  <si>
    <t>PLAN-EBT (Ergebnis vor Steuern) (MEUR)</t>
  </si>
  <si>
    <t>Verlustvortrag aus Vorperioden (MEUR)</t>
  </si>
  <si>
    <t>Steuerpflichtiges Ergebnis (MEUR)</t>
  </si>
  <si>
    <t>Steuersatz in %</t>
  </si>
  <si>
    <t>Geplante Ertragssteuern (MEUR)</t>
  </si>
  <si>
    <t>PLAN-JAHRESÜBERSCHUSS (P-JÜ) (MEUR)</t>
  </si>
  <si>
    <t>2. PLAN-EIGENKAPITAL &amp; EKR</t>
  </si>
  <si>
    <t>Eigenkapital Vorperiode (MEUR)</t>
  </si>
  <si>
    <t>Beschlossene Dividende (MEUR)</t>
  </si>
  <si>
    <t>Plan-Eigenkapital Ende Periode (MEUR)</t>
  </si>
  <si>
    <t>GEPLANTE EIGENKAPITALRENDITE (EKR) in %</t>
  </si>
  <si>
    <t>3. OPERATIVER CASHFLOW</t>
  </si>
  <si>
    <t>Plan-Jahresüberschuss (MEUR)</t>
  </si>
  <si>
    <t>Zuzüglich Gesamtabschreibungen (MEUR)</t>
  </si>
  <si>
    <t>Veränderung langfr. Rückstellungen (MEUR)</t>
  </si>
  <si>
    <t>Traditioneller Cashflow (MEUR)</t>
  </si>
  <si>
    <t>Veränderung Forderungen (Working Capital) (MEUR)</t>
  </si>
  <si>
    <t>Veränderung Vorräte (Working Capital) (MEUR)</t>
  </si>
  <si>
    <t>GEPLANTER OPERATIVER CASHFLOW (MEUR)</t>
  </si>
  <si>
    <t>4. LIQUIDITÄTSPLANUNG</t>
  </si>
  <si>
    <t>EINZAHLUNGEN</t>
  </si>
  <si>
    <t>Einzahlung aus Umsatz laufende Periode</t>
  </si>
  <si>
    <t>Einzahlung aus Umsatz Vorperiode</t>
  </si>
  <si>
    <t>Kreditaufnahme</t>
  </si>
  <si>
    <t>SUMME DER EINZAHLUNGEN</t>
  </si>
  <si>
    <t>AUSZAHLUNGEN</t>
  </si>
  <si>
    <t>Auszahlung für Material &amp; Fertigung</t>
  </si>
  <si>
    <t>Auszahlungen für F&amp;E</t>
  </si>
  <si>
    <t>Auszahlungen für Verwaltung und Vertrieb</t>
  </si>
  <si>
    <t>Zinszahlungen</t>
  </si>
  <si>
    <t>Steuern</t>
  </si>
  <si>
    <t>Investitionen</t>
  </si>
  <si>
    <t>Kredittilgung</t>
  </si>
  <si>
    <t>Dividendenzahlung</t>
  </si>
  <si>
    <t>SUMME DER AUSZAHLUNGEN</t>
  </si>
  <si>
    <t>Zahlungsmittelüberschuss/-fehlbetrag</t>
  </si>
  <si>
    <t>Zahlungsmittelanfangsbestand</t>
  </si>
  <si>
    <t>ZAHLUNGSMITTELENDBESTAND</t>
  </si>
  <si>
    <t xml:space="preserve">Szenario 1 </t>
  </si>
  <si>
    <t>25,8-27,09</t>
  </si>
  <si>
    <t>(7,91-7,15)+0</t>
  </si>
  <si>
    <t>HIER 0 EINTRAGEN</t>
  </si>
  <si>
    <t>Kommentar</t>
  </si>
  <si>
    <t>F&amp;E-Kosten (GuV) = F&amp;E-Mitarbeiter × Gehalt × (1 + PNK%)
                   + Einstellungs-/Entlassungskosten
                   + Pensionsrückstellungen (anteilig)
                   + Gebäude-Abschreibung (5%)
                   + Ökologie-Budget
                   + Wertanalyse-Budget</t>
  </si>
  <si>
    <t>Kreditaufnahme Summe</t>
  </si>
  <si>
    <t>Kreditaufnahme NEU Langfristig</t>
  </si>
  <si>
    <t>Forderungen Vorperiode</t>
  </si>
  <si>
    <t>Veränderung Vorräte = Δ Materialien + Δ Fertige Erzeugnisse</t>
  </si>
  <si>
    <t>Material-Lager (neu) = Material-Lager (alt) + Einkauf − Verbrauch
Verbrauch            ≈ Fertigungsmenge × Materialkosten pro Stück / Wertanalyseindex</t>
  </si>
  <si>
    <t>Lager FE (neu) = Lager FE (alt) + Produktion − Absatz   (in Stück, bewertet zu Herstellkosten)</t>
  </si>
  <si>
    <t xml:space="preserve">Material: 40500+2843-47000 = -157; Lager: 43500+5858-47000 = 2358 </t>
  </si>
  <si>
    <t>Im Moment noch 6 aber bei Neuaufnahme MIX</t>
  </si>
  <si>
    <t>Kurzfristige Kredite (Entscheidung) (MEUR)</t>
  </si>
  <si>
    <t>Geplante Materialkosten (MEUR)</t>
  </si>
  <si>
    <t>Geplante Fertigungsmenge × Materialverbrauch pro Stück × Einkaufspreis</t>
  </si>
  <si>
    <t>Berechnung pro Abteilung: Personalendbestand × Gehaltssatz</t>
  </si>
  <si>
    <t>Fertigung (MEUR)</t>
  </si>
  <si>
    <t>Verwaltung (MEUR)</t>
  </si>
  <si>
    <t>Vertrieb (MEUR)</t>
  </si>
  <si>
    <t>F&amp;E (MEUR)</t>
  </si>
  <si>
    <t>Einkauf (MEUR)</t>
  </si>
  <si>
    <t>Personalnebenkosten</t>
  </si>
  <si>
    <t>Abschreibungen Umwelttechnik (MEUR)</t>
  </si>
  <si>
    <t>MATERIALKOSTEN (EINSATZSTOFFE)</t>
  </si>
  <si>
    <t>PERSONALNEBENKOSTEN</t>
  </si>
  <si>
    <t>PERSONALKOSTEN</t>
  </si>
  <si>
    <t>ABSCHREIBUNGEN (FIXKOSTEN)</t>
  </si>
  <si>
    <t>SONSTIGE BETRIEBLICHE FIXKOSTEN</t>
  </si>
  <si>
    <t>Sonstige fixe Kosten (MEUR)</t>
  </si>
  <si>
    <t>Instandhaltung &amp; Rationalisierung (MEUR)</t>
  </si>
  <si>
    <t>EBIT, EBT &amp; JÜ</t>
  </si>
  <si>
    <t>Summe Selbstkosten Gesamt (Herstellkosten + Vertrieb + Verwaltung + F&amp;E)</t>
  </si>
  <si>
    <t>Abschreibungen Anlagen (MEUR)</t>
  </si>
  <si>
    <t>Prozessoptimierung (MEUR)</t>
  </si>
  <si>
    <t>MARKETING &amp; ENTWICKLUNG (ENTSCHEIDUNGEN)</t>
  </si>
  <si>
    <t xml:space="preserve">Zinssatz Personalnebenkosten in % </t>
  </si>
  <si>
    <t>Entscheidung von uns</t>
  </si>
  <si>
    <t>Training &amp; Einstellungen (MEUR)</t>
  </si>
  <si>
    <t>Pensionsrückstellungen (MEUR)</t>
  </si>
  <si>
    <t>Variable Fertigungskosten: Betriebsstoffe (MEUR)</t>
  </si>
  <si>
    <t>Variable Vertriebskosten: Transport (MEUR)</t>
  </si>
  <si>
    <t>Umweltabgabe (MEUR)</t>
  </si>
  <si>
    <t>Werbung Markt 1 (MEUR)</t>
  </si>
  <si>
    <t>Corporate Identity (MEUR)</t>
  </si>
  <si>
    <t>Ökologie (MEUR)</t>
  </si>
  <si>
    <t>Wertanalyse (MEUR)</t>
  </si>
  <si>
    <t>Stellschraube (Für Schätzungen oder Tests)</t>
  </si>
  <si>
    <t>Summe Kosten Abschreibungen</t>
  </si>
  <si>
    <t>Nacharbeit &amp; Ausschuss (MEUR)</t>
  </si>
  <si>
    <t>Lagerkosten</t>
  </si>
  <si>
    <t>PLAN-EBIT/Betriebsergebnis (MEUR)</t>
  </si>
  <si>
    <t>Generell News beachten!!</t>
  </si>
  <si>
    <t>Zuzüglich Pensionsrückstellungen (MEUR)</t>
  </si>
  <si>
    <t>20 % Forderungen werden jetzt beglichen</t>
  </si>
  <si>
    <t>Kreditaufnahme Langfristig NEU</t>
  </si>
  <si>
    <t>Personalkosten (ohne Pensionen)</t>
  </si>
  <si>
    <t>Sonstige Aufwendungen</t>
  </si>
  <si>
    <t>ERGEBNIS</t>
  </si>
  <si>
    <t>Einsatzstoffe (Einkauf)</t>
  </si>
  <si>
    <t>Einsatz- und Betriebsstoffe (Einkauf) Summe</t>
  </si>
  <si>
    <t>Betriebsstoffe (Einkauf)</t>
  </si>
  <si>
    <t>Geplante Einkaufsmenge Einsatzstoffe × Staffelpreis)</t>
  </si>
  <si>
    <t>Investitionen Umweltanlagen</t>
  </si>
  <si>
    <t>Kredit aus Vorperiode der zurückgezahlt werden muss</t>
  </si>
  <si>
    <t>Siehe Endbestand Liquiditätsrechnung letze Periode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</si>
</sst>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3" fillId="6" borderId="0" applyNumberFormat="0" applyBorder="0" applyAlignment="0" applyProtection="0"/>
    <xf numFmtId="0" fontId="3" fillId="7" borderId="0" applyNumberFormat="0" applyBorder="0" applyAlignment="0" applyProtection="0"/>
  </cellStyleXfs>
  <cellXfs count="11">
    <xf numFmtId="0" fontId="0" fillId="0" borderId="0" xfId="0"/>
    <xf numFmtId="0" fontId="1" fillId="2" borderId="0" xfId="1"/>
    <xf numFmtId="0" fontId="3" fillId="3" borderId="0" xfId="2"/>
    <xf numFmtId="0" fontId="3" fillId="6" borderId="0" xfId="5" applyAlignment="1">
      <alignment horizontal="center"/>
    </xf>
    <xf numFmtId="0" fontId="2" fillId="5" borderId="0" xfId="4"/>
    <xf numFmtId="0" fontId="2" fillId="4" borderId="0" xfId="3"/>
    <xf numFmtId="0" fontId="3" fillId="7" borderId="0" xfId="6"/>
    <xf numFmtId="0" fontId="4" fillId="0" borderId="0" xfId="0" applyFont="1"/>
    <xf numFmtId="0" fontId="4" fillId="5" borderId="0" xfId="4" applyFont="1"/>
    <xf numFmtId="0" fontId="0" fillId="0" borderId="0" xfId="0" applyAlignment="1">
      <alignment wrapText="1"/>
    </xf>
    <xf numFmtId="3" fontId="2" fillId="5" borderId="0" xfId="4" applyNumberFormat="1"/>
  </cellXfs>
  <cellStyles count="7">
    <cellStyle name="60 % - Akzent1" xfId="3" builtinId="32"/>
    <cellStyle name="60 % - Akzent3" xfId="4" builtinId="40"/>
    <cellStyle name="Akzent1" xfId="2" builtinId="29"/>
    <cellStyle name="Akzent4" xfId="5" builtinId="41"/>
    <cellStyle name="Akzent5" xfId="6" builtinId="45"/>
    <cellStyle name="Neutral" xfId="1" builtinId="2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8663D-40D0-402A-B2D8-812995C4C756}">
  <dimension ref="A1:A5"/>
  <sheetViews>
    <sheetView workbookViewId="0">
      <selection activeCell="A5" sqref="A5"/>
    </sheetView>
  </sheetViews>
  <sheetFormatPr baseColWidth="10" defaultRowHeight="14.4" x14ac:dyDescent="0.3"/>
  <cols>
    <col min="1" max="1" width="39.109375" customWidth="1"/>
  </cols>
  <sheetData>
    <row r="1" spans="1:1" ht="100.8" x14ac:dyDescent="0.3">
      <c r="A1" s="9" t="s">
        <v>61</v>
      </c>
    </row>
    <row r="3" spans="1:1" ht="28.8" x14ac:dyDescent="0.3">
      <c r="A3" s="9" t="s">
        <v>65</v>
      </c>
    </row>
    <row r="4" spans="1:1" ht="57.6" x14ac:dyDescent="0.3">
      <c r="A4" s="9" t="s">
        <v>66</v>
      </c>
    </row>
    <row r="5" spans="1:1" ht="28.8" x14ac:dyDescent="0.3">
      <c r="A5" s="9" t="s">
        <v>67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3C56E-5420-43C2-95C0-1BF9EE488613}">
  <dimension ref="A1:CB92"/>
  <sheetViews>
    <sheetView zoomScale="130" zoomScaleNormal="130" workbookViewId="0">
      <selection activeCell="B74" sqref="B74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2</v>
      </c>
      <c r="B3" s="10">
        <v>45326</v>
      </c>
    </row>
    <row r="4" spans="1:80" x14ac:dyDescent="0.3">
      <c r="A4" s="4" t="s">
        <v>3</v>
      </c>
      <c r="B4" s="4">
        <v>3200</v>
      </c>
    </row>
    <row r="5" spans="1:80" x14ac:dyDescent="0.3">
      <c r="A5" s="5" t="s">
        <v>4</v>
      </c>
      <c r="B5" s="5">
        <f>B3*B4/1000000</f>
        <v>145.04320000000001</v>
      </c>
    </row>
    <row r="6" spans="1:80" s="6" customFormat="1" x14ac:dyDescent="0.3">
      <c r="A6" s="6" t="s">
        <v>81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</row>
    <row r="7" spans="1:80" x14ac:dyDescent="0.3">
      <c r="A7" s="4" t="s">
        <v>71</v>
      </c>
      <c r="B7" s="4">
        <v>23.65</v>
      </c>
      <c r="C7" t="s">
        <v>72</v>
      </c>
    </row>
    <row r="8" spans="1:80" x14ac:dyDescent="0.3">
      <c r="A8" s="4" t="s">
        <v>97</v>
      </c>
      <c r="B8" s="4">
        <v>2</v>
      </c>
    </row>
    <row r="9" spans="1:80" x14ac:dyDescent="0.3">
      <c r="A9" s="4" t="s">
        <v>98</v>
      </c>
      <c r="B9" s="4">
        <v>1.1299999999999999</v>
      </c>
    </row>
    <row r="10" spans="1:80" x14ac:dyDescent="0.3">
      <c r="A10" s="6" t="s">
        <v>83</v>
      </c>
      <c r="B10" s="6"/>
      <c r="C10" t="s">
        <v>73</v>
      </c>
    </row>
    <row r="11" spans="1:80" x14ac:dyDescent="0.3">
      <c r="A11" s="4" t="s">
        <v>74</v>
      </c>
      <c r="B11" s="4">
        <v>27.62</v>
      </c>
    </row>
    <row r="12" spans="1:80" x14ac:dyDescent="0.3">
      <c r="A12" s="4" t="s">
        <v>75</v>
      </c>
      <c r="B12" s="4">
        <v>6.29</v>
      </c>
    </row>
    <row r="13" spans="1:80" x14ac:dyDescent="0.3">
      <c r="A13" s="4" t="s">
        <v>76</v>
      </c>
      <c r="B13" s="4">
        <v>4.51</v>
      </c>
    </row>
    <row r="14" spans="1:80" x14ac:dyDescent="0.3">
      <c r="A14" s="4" t="s">
        <v>77</v>
      </c>
      <c r="B14" s="4">
        <v>3.15</v>
      </c>
    </row>
    <row r="15" spans="1:80" x14ac:dyDescent="0.3">
      <c r="A15" s="4" t="s">
        <v>78</v>
      </c>
      <c r="B15" s="4">
        <v>0.74</v>
      </c>
    </row>
    <row r="16" spans="1:80" x14ac:dyDescent="0.3">
      <c r="A16" s="4" t="s">
        <v>95</v>
      </c>
      <c r="B16" s="4">
        <v>2.6</v>
      </c>
    </row>
    <row r="17" spans="1:80" x14ac:dyDescent="0.3">
      <c r="A17" s="4" t="s">
        <v>96</v>
      </c>
      <c r="B17" s="4">
        <v>2.12</v>
      </c>
    </row>
    <row r="18" spans="1:80" s="6" customFormat="1" x14ac:dyDescent="0.3">
      <c r="A18" s="6" t="s">
        <v>82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</row>
    <row r="19" spans="1:80" x14ac:dyDescent="0.3">
      <c r="A19" s="4" t="s">
        <v>93</v>
      </c>
      <c r="B19" s="4">
        <v>40</v>
      </c>
      <c r="C19" t="s">
        <v>94</v>
      </c>
    </row>
    <row r="20" spans="1:80" x14ac:dyDescent="0.3">
      <c r="A20" s="5" t="s">
        <v>79</v>
      </c>
      <c r="B20" s="5">
        <f>ROUNDUP(SUM(B11:B15)*(B19/100),2)</f>
        <v>16.930000000000003</v>
      </c>
    </row>
    <row r="21" spans="1:80" s="6" customFormat="1" x14ac:dyDescent="0.3">
      <c r="A21" s="6" t="s">
        <v>84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</row>
    <row r="22" spans="1:80" x14ac:dyDescent="0.3">
      <c r="A22" s="4" t="s">
        <v>90</v>
      </c>
      <c r="B22" s="4">
        <v>5.5</v>
      </c>
    </row>
    <row r="23" spans="1:80" x14ac:dyDescent="0.3">
      <c r="A23" s="4" t="s">
        <v>80</v>
      </c>
      <c r="B23" s="4">
        <v>0.65</v>
      </c>
    </row>
    <row r="24" spans="1:80" x14ac:dyDescent="0.3">
      <c r="A24" s="1" t="s">
        <v>10</v>
      </c>
      <c r="B24" s="1">
        <v>0.25</v>
      </c>
    </row>
    <row r="25" spans="1:80" x14ac:dyDescent="0.3">
      <c r="A25" s="5" t="s">
        <v>105</v>
      </c>
      <c r="B25" s="5">
        <f>SUM(B22:B24)</f>
        <v>6.4</v>
      </c>
    </row>
    <row r="26" spans="1:80" s="4" customFormat="1" x14ac:dyDescent="0.3">
      <c r="A26" s="6" t="s">
        <v>85</v>
      </c>
      <c r="B26" s="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</row>
    <row r="27" spans="1:80" x14ac:dyDescent="0.3">
      <c r="A27" s="4" t="s">
        <v>86</v>
      </c>
      <c r="B27" s="4">
        <v>3.25</v>
      </c>
    </row>
    <row r="28" spans="1:80" x14ac:dyDescent="0.3">
      <c r="A28" s="4" t="s">
        <v>87</v>
      </c>
      <c r="B28" s="4">
        <v>7</v>
      </c>
    </row>
    <row r="29" spans="1:80" x14ac:dyDescent="0.3">
      <c r="A29" s="4" t="s">
        <v>91</v>
      </c>
      <c r="B29" s="4">
        <v>2</v>
      </c>
    </row>
    <row r="30" spans="1:80" x14ac:dyDescent="0.3">
      <c r="A30" s="4" t="s">
        <v>99</v>
      </c>
      <c r="B30" s="4">
        <v>0.8</v>
      </c>
    </row>
    <row r="31" spans="1:80" x14ac:dyDescent="0.3">
      <c r="A31" s="4" t="s">
        <v>106</v>
      </c>
      <c r="B31" s="4">
        <v>1.78</v>
      </c>
    </row>
    <row r="32" spans="1:80" x14ac:dyDescent="0.3">
      <c r="A32" s="4" t="s">
        <v>107</v>
      </c>
      <c r="B32" s="4">
        <v>0.48</v>
      </c>
    </row>
    <row r="33" spans="1:3" x14ac:dyDescent="0.3">
      <c r="A33" s="6" t="s">
        <v>92</v>
      </c>
      <c r="B33" s="6"/>
    </row>
    <row r="34" spans="1:3" x14ac:dyDescent="0.3">
      <c r="A34" s="4" t="s">
        <v>100</v>
      </c>
      <c r="B34" s="4">
        <v>8</v>
      </c>
    </row>
    <row r="35" spans="1:3" x14ac:dyDescent="0.3">
      <c r="A35" s="4" t="s">
        <v>101</v>
      </c>
      <c r="B35" s="4">
        <v>3.5</v>
      </c>
    </row>
    <row r="36" spans="1:3" x14ac:dyDescent="0.3">
      <c r="A36" s="4" t="s">
        <v>102</v>
      </c>
      <c r="B36" s="4">
        <v>2.5</v>
      </c>
    </row>
    <row r="37" spans="1:3" x14ac:dyDescent="0.3">
      <c r="A37" s="4" t="s">
        <v>103</v>
      </c>
      <c r="B37" s="4">
        <v>1</v>
      </c>
    </row>
    <row r="38" spans="1:3" x14ac:dyDescent="0.3">
      <c r="A38" s="1" t="s">
        <v>104</v>
      </c>
      <c r="B38" s="1">
        <v>3.88</v>
      </c>
    </row>
    <row r="39" spans="1:3" x14ac:dyDescent="0.3">
      <c r="A39" s="5" t="s">
        <v>89</v>
      </c>
      <c r="B39" s="5">
        <f>-SUM(B7:B9,(B11:B17),B20,B25,(B27:B32),B34:B38)</f>
        <v>-131.33000000000001</v>
      </c>
    </row>
    <row r="40" spans="1:3" x14ac:dyDescent="0.3">
      <c r="A40" s="6" t="s">
        <v>88</v>
      </c>
      <c r="B40" s="6"/>
    </row>
    <row r="41" spans="1:3" x14ac:dyDescent="0.3">
      <c r="A41" s="5" t="s">
        <v>108</v>
      </c>
      <c r="B41" s="5">
        <f>ROUNDUP(SUM(B5,B39),2)</f>
        <v>13.72</v>
      </c>
    </row>
    <row r="42" spans="1:3" x14ac:dyDescent="0.3">
      <c r="A42" s="4" t="s">
        <v>13</v>
      </c>
      <c r="B42" s="4">
        <v>6</v>
      </c>
      <c r="C42" s="7" t="s">
        <v>69</v>
      </c>
    </row>
    <row r="43" spans="1:3" x14ac:dyDescent="0.3">
      <c r="A43" s="4" t="s">
        <v>14</v>
      </c>
      <c r="B43" s="4">
        <v>6.5</v>
      </c>
      <c r="C43" s="7" t="s">
        <v>109</v>
      </c>
    </row>
    <row r="44" spans="1:3" x14ac:dyDescent="0.3">
      <c r="A44" s="4" t="s">
        <v>15</v>
      </c>
      <c r="B44" s="4">
        <v>5</v>
      </c>
    </row>
    <row r="45" spans="1:3" x14ac:dyDescent="0.3">
      <c r="A45" s="4" t="s">
        <v>70</v>
      </c>
      <c r="B45" s="4">
        <v>12</v>
      </c>
    </row>
    <row r="46" spans="1:3" x14ac:dyDescent="0.3">
      <c r="A46" s="5" t="s">
        <v>17</v>
      </c>
      <c r="B46" s="5">
        <f>-(B44*(B42/100) + B45*(B43/100))</f>
        <v>-1.08</v>
      </c>
    </row>
    <row r="47" spans="1:3" x14ac:dyDescent="0.3">
      <c r="A47" s="5" t="s">
        <v>18</v>
      </c>
      <c r="B47" s="5">
        <f>B41+B46</f>
        <v>12.64</v>
      </c>
    </row>
    <row r="48" spans="1:3" x14ac:dyDescent="0.3">
      <c r="A48" s="4" t="s">
        <v>19</v>
      </c>
      <c r="B48" s="4">
        <v>0</v>
      </c>
    </row>
    <row r="49" spans="1:2" x14ac:dyDescent="0.3">
      <c r="A49" s="5" t="s">
        <v>20</v>
      </c>
      <c r="B49" s="5">
        <f>MAX(0, B47-B48)</f>
        <v>12.64</v>
      </c>
    </row>
    <row r="50" spans="1:2" x14ac:dyDescent="0.3">
      <c r="A50" s="1" t="s">
        <v>21</v>
      </c>
      <c r="B50" s="1">
        <v>45</v>
      </c>
    </row>
    <row r="51" spans="1:2" x14ac:dyDescent="0.3">
      <c r="A51" s="5" t="s">
        <v>22</v>
      </c>
      <c r="B51" s="5">
        <f>ROUNDUP(-B49*(B50/100),2)</f>
        <v>-5.6899999999999995</v>
      </c>
    </row>
    <row r="52" spans="1:2" x14ac:dyDescent="0.3">
      <c r="A52" s="5" t="s">
        <v>23</v>
      </c>
      <c r="B52" s="5">
        <f>B47+B51</f>
        <v>6.9500000000000011</v>
      </c>
    </row>
    <row r="54" spans="1:2" x14ac:dyDescent="0.3">
      <c r="A54" s="2" t="s">
        <v>24</v>
      </c>
      <c r="B54" s="2"/>
    </row>
    <row r="55" spans="1:2" x14ac:dyDescent="0.3">
      <c r="A55" s="4" t="s">
        <v>25</v>
      </c>
      <c r="B55" s="4">
        <v>35.03</v>
      </c>
    </row>
    <row r="56" spans="1:2" x14ac:dyDescent="0.3">
      <c r="A56" s="4" t="s">
        <v>26</v>
      </c>
      <c r="B56" s="4">
        <v>-1</v>
      </c>
    </row>
    <row r="57" spans="1:2" x14ac:dyDescent="0.3">
      <c r="A57" s="5" t="s">
        <v>27</v>
      </c>
      <c r="B57" s="5">
        <f>B55+B56+B52</f>
        <v>40.980000000000004</v>
      </c>
    </row>
    <row r="58" spans="1:2" x14ac:dyDescent="0.3">
      <c r="A58" s="5" t="s">
        <v>28</v>
      </c>
      <c r="B58" s="5">
        <f>(B52/B55)*100</f>
        <v>19.840137025406797</v>
      </c>
    </row>
    <row r="60" spans="1:2" x14ac:dyDescent="0.3">
      <c r="A60" s="2" t="s">
        <v>29</v>
      </c>
      <c r="B60" s="2"/>
    </row>
    <row r="61" spans="1:2" x14ac:dyDescent="0.3">
      <c r="A61" s="5" t="s">
        <v>30</v>
      </c>
      <c r="B61" s="5">
        <f>B52</f>
        <v>6.9500000000000011</v>
      </c>
    </row>
    <row r="62" spans="1:2" x14ac:dyDescent="0.3">
      <c r="A62" s="5" t="s">
        <v>31</v>
      </c>
      <c r="B62" s="5">
        <f>B25</f>
        <v>6.4</v>
      </c>
    </row>
    <row r="63" spans="1:2" x14ac:dyDescent="0.3">
      <c r="A63" s="5" t="s">
        <v>110</v>
      </c>
      <c r="B63" s="5">
        <f>B17</f>
        <v>2.12</v>
      </c>
    </row>
    <row r="64" spans="1:2" x14ac:dyDescent="0.3">
      <c r="A64" s="5" t="s">
        <v>33</v>
      </c>
      <c r="B64" s="5">
        <f>B61+B62+B63</f>
        <v>15.470000000000002</v>
      </c>
    </row>
    <row r="65" spans="1:3" x14ac:dyDescent="0.3">
      <c r="A65" s="4" t="s">
        <v>64</v>
      </c>
      <c r="B65" s="4">
        <v>26.72</v>
      </c>
    </row>
    <row r="66" spans="1:3" x14ac:dyDescent="0.3">
      <c r="A66" s="5" t="s">
        <v>34</v>
      </c>
      <c r="B66" s="5">
        <f>ROUNDUP(-(B5*0.2-B65),2)</f>
        <v>-2.2899999999999996</v>
      </c>
    </row>
    <row r="67" spans="1:3" x14ac:dyDescent="0.3">
      <c r="A67" s="4" t="s">
        <v>35</v>
      </c>
      <c r="B67" s="4">
        <f>4.56</f>
        <v>4.5599999999999996</v>
      </c>
      <c r="C67" t="s">
        <v>68</v>
      </c>
    </row>
    <row r="68" spans="1:3" x14ac:dyDescent="0.3">
      <c r="A68" s="5" t="s">
        <v>36</v>
      </c>
      <c r="B68" s="5">
        <f>B64+B66+B67</f>
        <v>17.740000000000002</v>
      </c>
    </row>
    <row r="70" spans="1:3" x14ac:dyDescent="0.3">
      <c r="A70" s="2" t="s">
        <v>37</v>
      </c>
      <c r="B70" s="2"/>
    </row>
    <row r="71" spans="1:3" x14ac:dyDescent="0.3">
      <c r="A71" s="6" t="s">
        <v>38</v>
      </c>
      <c r="B71" s="6"/>
    </row>
    <row r="72" spans="1:3" x14ac:dyDescent="0.3">
      <c r="A72" s="5" t="s">
        <v>39</v>
      </c>
      <c r="B72" s="5">
        <f>B5*0.8</f>
        <v>116.03456000000001</v>
      </c>
    </row>
    <row r="73" spans="1:3" x14ac:dyDescent="0.3">
      <c r="A73" s="4" t="s">
        <v>40</v>
      </c>
      <c r="B73" s="4">
        <v>26.72</v>
      </c>
      <c r="C73" t="s">
        <v>111</v>
      </c>
    </row>
    <row r="74" spans="1:3" x14ac:dyDescent="0.3">
      <c r="A74" s="4" t="s">
        <v>112</v>
      </c>
      <c r="B74" s="4">
        <v>0</v>
      </c>
    </row>
    <row r="75" spans="1:3" x14ac:dyDescent="0.3">
      <c r="A75" s="5" t="s">
        <v>62</v>
      </c>
      <c r="B75" s="5">
        <f>B74+B45</f>
        <v>12</v>
      </c>
    </row>
    <row r="76" spans="1:3" x14ac:dyDescent="0.3">
      <c r="A76" s="5" t="s">
        <v>42</v>
      </c>
      <c r="B76" s="5">
        <f>B72+B73+B75</f>
        <v>154.75456000000003</v>
      </c>
    </row>
    <row r="77" spans="1:3" x14ac:dyDescent="0.3">
      <c r="A77" s="6" t="s">
        <v>43</v>
      </c>
      <c r="B77" s="6"/>
    </row>
    <row r="78" spans="1:3" x14ac:dyDescent="0.3">
      <c r="A78" s="4" t="s">
        <v>116</v>
      </c>
      <c r="B78" s="4">
        <v>22.96</v>
      </c>
      <c r="C78" t="s">
        <v>119</v>
      </c>
    </row>
    <row r="79" spans="1:3" x14ac:dyDescent="0.3">
      <c r="A79" s="5" t="s">
        <v>118</v>
      </c>
      <c r="B79" s="5">
        <f>B8</f>
        <v>2</v>
      </c>
    </row>
    <row r="80" spans="1:3" x14ac:dyDescent="0.3">
      <c r="A80" s="5" t="s">
        <v>117</v>
      </c>
      <c r="B80" s="5">
        <f>SUM(B78:B79)</f>
        <v>24.96</v>
      </c>
    </row>
    <row r="81" spans="1:3" x14ac:dyDescent="0.3">
      <c r="A81" s="5" t="s">
        <v>113</v>
      </c>
      <c r="B81" s="5">
        <f>SUM(B11:B16,B20)</f>
        <v>61.84</v>
      </c>
    </row>
    <row r="82" spans="1:3" x14ac:dyDescent="0.3">
      <c r="A82" s="5" t="s">
        <v>114</v>
      </c>
      <c r="B82" s="5">
        <f>SUM(B27:B32,B34:B37,B9)</f>
        <v>31.44</v>
      </c>
    </row>
    <row r="83" spans="1:3" x14ac:dyDescent="0.3">
      <c r="A83" s="5" t="s">
        <v>47</v>
      </c>
      <c r="B83" s="5">
        <f>-B46</f>
        <v>1.08</v>
      </c>
    </row>
    <row r="84" spans="1:3" x14ac:dyDescent="0.3">
      <c r="A84" s="5" t="s">
        <v>48</v>
      </c>
      <c r="B84" s="5">
        <f>-B51</f>
        <v>5.6899999999999995</v>
      </c>
    </row>
    <row r="85" spans="1:3" x14ac:dyDescent="0.3">
      <c r="A85" s="4" t="s">
        <v>49</v>
      </c>
      <c r="B85" s="4">
        <v>2.5</v>
      </c>
      <c r="C85" t="s">
        <v>120</v>
      </c>
    </row>
    <row r="86" spans="1:3" x14ac:dyDescent="0.3">
      <c r="A86" s="4" t="s">
        <v>50</v>
      </c>
      <c r="B86" s="4">
        <v>17</v>
      </c>
      <c r="C86" t="s">
        <v>121</v>
      </c>
    </row>
    <row r="87" spans="1:3" x14ac:dyDescent="0.3">
      <c r="A87" s="5" t="s">
        <v>51</v>
      </c>
      <c r="B87" s="5">
        <f>-B56</f>
        <v>1</v>
      </c>
    </row>
    <row r="88" spans="1:3" x14ac:dyDescent="0.3">
      <c r="A88" s="5" t="s">
        <v>52</v>
      </c>
      <c r="B88" s="5">
        <f>SUM(B80:B87)</f>
        <v>145.51</v>
      </c>
    </row>
    <row r="89" spans="1:3" x14ac:dyDescent="0.3">
      <c r="A89" s="6" t="s">
        <v>115</v>
      </c>
      <c r="B89" s="6"/>
    </row>
    <row r="90" spans="1:3" x14ac:dyDescent="0.3">
      <c r="A90" s="5" t="s">
        <v>53</v>
      </c>
      <c r="B90" s="5">
        <f>B76-B88</f>
        <v>9.2445600000000354</v>
      </c>
    </row>
    <row r="91" spans="1:3" x14ac:dyDescent="0.3">
      <c r="A91" s="4" t="s">
        <v>54</v>
      </c>
      <c r="B91" s="4">
        <v>10.1</v>
      </c>
      <c r="C91" t="s">
        <v>122</v>
      </c>
    </row>
    <row r="92" spans="1:3" x14ac:dyDescent="0.3">
      <c r="A92" s="5" t="s">
        <v>55</v>
      </c>
      <c r="B92" s="5">
        <f>B90+B91</f>
        <v>19.344560000000037</v>
      </c>
    </row>
  </sheetData>
  <pageMargins left="0.75" right="0.75" top="1" bottom="1" header="0.5" footer="0.5"/>
  <pageSetup paperSize="9" orientation="portrait" horizontalDpi="4294967293" verticalDpi="4294967293" r:id="rId1"/>
  <ignoredErrors>
    <ignoredError sqref="B20 B81:B82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61"/>
  <sheetViews>
    <sheetView topLeftCell="A10" zoomScale="115" zoomScaleNormal="115" workbookViewId="0">
      <selection activeCell="B31" sqref="B31"/>
    </sheetView>
  </sheetViews>
  <sheetFormatPr baseColWidth="10" defaultColWidth="8.88671875" defaultRowHeight="14.4" x14ac:dyDescent="0.3"/>
  <cols>
    <col min="1" max="1" width="65" customWidth="1"/>
    <col min="2" max="2" width="25" customWidth="1"/>
  </cols>
  <sheetData>
    <row r="1" spans="1:3" x14ac:dyDescent="0.3">
      <c r="A1" s="3" t="s">
        <v>0</v>
      </c>
      <c r="B1" s="3" t="s">
        <v>56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43000</v>
      </c>
    </row>
    <row r="4" spans="1:3" x14ac:dyDescent="0.3">
      <c r="A4" s="4" t="s">
        <v>3</v>
      </c>
      <c r="B4" s="4">
        <v>3150</v>
      </c>
    </row>
    <row r="5" spans="1:3" x14ac:dyDescent="0.3">
      <c r="A5" s="5" t="s">
        <v>4</v>
      </c>
      <c r="B5" s="5">
        <f>B3*B4/1000000</f>
        <v>135.44999999999999</v>
      </c>
    </row>
    <row r="6" spans="1:3" x14ac:dyDescent="0.3">
      <c r="A6" s="4" t="s">
        <v>5</v>
      </c>
      <c r="B6" s="4">
        <v>-98</v>
      </c>
      <c r="C6" s="4">
        <v>-38.96</v>
      </c>
    </row>
    <row r="7" spans="1:3" x14ac:dyDescent="0.3">
      <c r="A7" s="4" t="s">
        <v>6</v>
      </c>
      <c r="B7" s="4">
        <v>-5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-8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7.4499999999999886</v>
      </c>
    </row>
    <row r="14" spans="1:3" x14ac:dyDescent="0.3">
      <c r="A14" s="1" t="s">
        <v>13</v>
      </c>
      <c r="B14" s="1">
        <v>7</v>
      </c>
    </row>
    <row r="15" spans="1:3" x14ac:dyDescent="0.3">
      <c r="A15" s="1" t="s">
        <v>14</v>
      </c>
      <c r="B15" s="1">
        <v>8</v>
      </c>
    </row>
    <row r="16" spans="1:3" x14ac:dyDescent="0.3">
      <c r="A16" s="4" t="s">
        <v>15</v>
      </c>
      <c r="B16" s="4">
        <v>5</v>
      </c>
    </row>
    <row r="17" spans="1:3" x14ac:dyDescent="0.3">
      <c r="A17" s="4" t="s">
        <v>16</v>
      </c>
      <c r="B17" s="4">
        <v>17</v>
      </c>
    </row>
    <row r="18" spans="1:3" x14ac:dyDescent="0.3">
      <c r="A18" s="5" t="s">
        <v>17</v>
      </c>
      <c r="B18" s="5">
        <f>-(B16*(B14/100) + B17*(B15/100))</f>
        <v>-1.7100000000000002</v>
      </c>
    </row>
    <row r="19" spans="1:3" x14ac:dyDescent="0.3">
      <c r="A19" s="5" t="s">
        <v>18</v>
      </c>
      <c r="B19" s="5">
        <f>B13+B18</f>
        <v>5.7399999999999887</v>
      </c>
    </row>
    <row r="20" spans="1:3" x14ac:dyDescent="0.3">
      <c r="A20" s="4" t="s">
        <v>19</v>
      </c>
      <c r="B20" s="8">
        <v>0</v>
      </c>
      <c r="C20" s="7" t="s">
        <v>59</v>
      </c>
    </row>
    <row r="21" spans="1:3" x14ac:dyDescent="0.3">
      <c r="A21" s="5" t="s">
        <v>20</v>
      </c>
      <c r="B21" s="5">
        <f>MAX(0, B19-B20)</f>
        <v>5.7399999999999887</v>
      </c>
    </row>
    <row r="22" spans="1:3" x14ac:dyDescent="0.3">
      <c r="A22" s="1" t="s">
        <v>21</v>
      </c>
      <c r="B22" s="1">
        <v>45</v>
      </c>
    </row>
    <row r="23" spans="1:3" x14ac:dyDescent="0.3">
      <c r="A23" s="5" t="s">
        <v>22</v>
      </c>
      <c r="B23" s="5">
        <f>-B21*(B22/100)</f>
        <v>-2.5829999999999949</v>
      </c>
    </row>
    <row r="24" spans="1:3" x14ac:dyDescent="0.3">
      <c r="A24" s="5" t="s">
        <v>23</v>
      </c>
      <c r="B24" s="5">
        <f>B19+B23</f>
        <v>3.1569999999999938</v>
      </c>
    </row>
    <row r="26" spans="1:3" x14ac:dyDescent="0.3">
      <c r="A26" s="2" t="s">
        <v>24</v>
      </c>
      <c r="B26" s="2"/>
    </row>
    <row r="27" spans="1:3" x14ac:dyDescent="0.3">
      <c r="A27" s="4" t="s">
        <v>25</v>
      </c>
      <c r="B27" s="4">
        <v>31.27</v>
      </c>
    </row>
    <row r="28" spans="1:3" x14ac:dyDescent="0.3">
      <c r="A28" s="4" t="s">
        <v>26</v>
      </c>
      <c r="B28" s="4">
        <v>-1</v>
      </c>
    </row>
    <row r="29" spans="1:3" x14ac:dyDescent="0.3">
      <c r="A29" s="5" t="s">
        <v>27</v>
      </c>
      <c r="B29" s="5">
        <f>B27+B28+B24</f>
        <v>33.426999999999992</v>
      </c>
    </row>
    <row r="30" spans="1:3" x14ac:dyDescent="0.3">
      <c r="A30" s="5" t="s">
        <v>28</v>
      </c>
      <c r="B30" s="5">
        <f>(B24/B29)*100</f>
        <v>9.4444610644089941</v>
      </c>
    </row>
    <row r="32" spans="1:3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3.1569999999999938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</v>
      </c>
    </row>
    <row r="36" spans="1:3" x14ac:dyDescent="0.3">
      <c r="A36" s="5" t="s">
        <v>33</v>
      </c>
      <c r="B36" s="5">
        <f>B33+B34+B35</f>
        <v>12.156999999999993</v>
      </c>
    </row>
    <row r="37" spans="1:3" x14ac:dyDescent="0.3">
      <c r="A37" s="4" t="s">
        <v>34</v>
      </c>
      <c r="B37" s="4">
        <f>25.8-27.09</f>
        <v>-1.2899999999999991</v>
      </c>
      <c r="C37" t="s">
        <v>57</v>
      </c>
    </row>
    <row r="38" spans="1:3" x14ac:dyDescent="0.3">
      <c r="A38" s="4" t="s">
        <v>35</v>
      </c>
      <c r="B38" s="4">
        <f>(7.91-7.15)+0</f>
        <v>0.75999999999999979</v>
      </c>
      <c r="C38" t="s">
        <v>58</v>
      </c>
    </row>
    <row r="39" spans="1:3" x14ac:dyDescent="0.3">
      <c r="A39" s="5" t="s">
        <v>36</v>
      </c>
      <c r="B39" s="5">
        <f>B36+B37+B38</f>
        <v>11.626999999999994</v>
      </c>
    </row>
    <row r="41" spans="1:3" x14ac:dyDescent="0.3">
      <c r="A41" s="2" t="s">
        <v>37</v>
      </c>
      <c r="B41" s="2"/>
    </row>
    <row r="42" spans="1:3" x14ac:dyDescent="0.3">
      <c r="A42" s="6" t="s">
        <v>38</v>
      </c>
      <c r="B42" s="6"/>
    </row>
    <row r="43" spans="1:3" x14ac:dyDescent="0.3">
      <c r="A43" s="5" t="s">
        <v>39</v>
      </c>
      <c r="B43" s="5">
        <f>B5*0.8</f>
        <v>108.36</v>
      </c>
    </row>
    <row r="44" spans="1:3" x14ac:dyDescent="0.3">
      <c r="A44" s="4" t="s">
        <v>40</v>
      </c>
      <c r="B44" s="4">
        <v>25.8</v>
      </c>
    </row>
    <row r="45" spans="1:3" x14ac:dyDescent="0.3">
      <c r="A45" s="4" t="s">
        <v>41</v>
      </c>
      <c r="B45" s="4">
        <v>22</v>
      </c>
    </row>
    <row r="46" spans="1:3" x14ac:dyDescent="0.3">
      <c r="A46" s="5" t="s">
        <v>42</v>
      </c>
      <c r="B46" s="5">
        <f>SUM(B43:B45)</f>
        <v>156.16</v>
      </c>
    </row>
    <row r="48" spans="1:3" x14ac:dyDescent="0.3">
      <c r="A48" s="6" t="s">
        <v>43</v>
      </c>
      <c r="B48" s="6"/>
    </row>
    <row r="49" spans="1:2" x14ac:dyDescent="0.3">
      <c r="A49" s="5" t="s">
        <v>44</v>
      </c>
      <c r="B49" s="5">
        <f>-B6</f>
        <v>98</v>
      </c>
    </row>
    <row r="50" spans="1:2" x14ac:dyDescent="0.3">
      <c r="A50" s="5" t="s">
        <v>45</v>
      </c>
      <c r="B50" s="5">
        <f>-B7</f>
        <v>5</v>
      </c>
    </row>
    <row r="51" spans="1:2" x14ac:dyDescent="0.3">
      <c r="A51" s="5" t="s">
        <v>46</v>
      </c>
      <c r="B51" s="5">
        <f>-(B8+B9)</f>
        <v>18</v>
      </c>
    </row>
    <row r="52" spans="1:2" x14ac:dyDescent="0.3">
      <c r="A52" s="5" t="s">
        <v>47</v>
      </c>
      <c r="B52" s="5">
        <f>-B18</f>
        <v>1.7100000000000002</v>
      </c>
    </row>
    <row r="53" spans="1:2" x14ac:dyDescent="0.3">
      <c r="A53" s="5" t="s">
        <v>48</v>
      </c>
      <c r="B53" s="5">
        <f>-B23</f>
        <v>2.5829999999999949</v>
      </c>
    </row>
    <row r="54" spans="1:2" x14ac:dyDescent="0.3">
      <c r="A54" s="4" t="s">
        <v>49</v>
      </c>
      <c r="B54" s="4">
        <v>0</v>
      </c>
    </row>
    <row r="55" spans="1:2" x14ac:dyDescent="0.3">
      <c r="A55" s="4" t="s">
        <v>50</v>
      </c>
      <c r="B55" s="4">
        <v>27</v>
      </c>
    </row>
    <row r="56" spans="1:2" x14ac:dyDescent="0.3">
      <c r="A56" s="5" t="s">
        <v>51</v>
      </c>
      <c r="B56" s="5">
        <f>-B28</f>
        <v>1</v>
      </c>
    </row>
    <row r="57" spans="1:2" x14ac:dyDescent="0.3">
      <c r="A57" s="5" t="s">
        <v>52</v>
      </c>
      <c r="B57" s="5">
        <f>SUM(B49:B56)</f>
        <v>153.29300000000001</v>
      </c>
    </row>
    <row r="59" spans="1:2" x14ac:dyDescent="0.3">
      <c r="A59" s="5" t="s">
        <v>53</v>
      </c>
      <c r="B59" s="5">
        <f>B46-B57</f>
        <v>2.8669999999999902</v>
      </c>
    </row>
    <row r="60" spans="1:2" x14ac:dyDescent="0.3">
      <c r="A60" s="4" t="s">
        <v>54</v>
      </c>
      <c r="B60" s="4">
        <v>11.26</v>
      </c>
    </row>
    <row r="61" spans="1:2" x14ac:dyDescent="0.3">
      <c r="A61" s="5" t="s">
        <v>55</v>
      </c>
      <c r="B61" s="5">
        <f>B59+B60</f>
        <v>14.12699999999999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70D53-6421-4BCC-8263-1590D4CFD838}">
  <dimension ref="A1:C63"/>
  <sheetViews>
    <sheetView zoomScale="115" zoomScaleNormal="115" workbookViewId="0">
      <selection activeCell="B39" sqref="B39"/>
    </sheetView>
  </sheetViews>
  <sheetFormatPr baseColWidth="10" defaultColWidth="8.88671875" defaultRowHeight="14.4" x14ac:dyDescent="0.3"/>
  <cols>
    <col min="1" max="1" width="65" customWidth="1"/>
    <col min="2" max="2" width="25" customWidth="1"/>
    <col min="3" max="3" width="13.21875" bestFit="1" customWidth="1"/>
  </cols>
  <sheetData>
    <row r="1" spans="1:3" x14ac:dyDescent="0.3">
      <c r="A1" s="3" t="s">
        <v>0</v>
      </c>
      <c r="B1" s="3" t="s">
        <v>56</v>
      </c>
      <c r="C1" s="3" t="s">
        <v>60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47000</v>
      </c>
    </row>
    <row r="4" spans="1:3" x14ac:dyDescent="0.3">
      <c r="A4" s="4" t="s">
        <v>3</v>
      </c>
      <c r="B4" s="4">
        <v>3200</v>
      </c>
    </row>
    <row r="5" spans="1:3" x14ac:dyDescent="0.3">
      <c r="A5" s="5" t="s">
        <v>4</v>
      </c>
      <c r="B5" s="5">
        <f>B3*B4/1000000</f>
        <v>150.4</v>
      </c>
    </row>
    <row r="6" spans="1:3" x14ac:dyDescent="0.3">
      <c r="A6" s="4" t="s">
        <v>5</v>
      </c>
      <c r="B6" s="4">
        <v>-95</v>
      </c>
    </row>
    <row r="7" spans="1:3" x14ac:dyDescent="0.3">
      <c r="A7" s="4" t="s">
        <v>6</v>
      </c>
      <c r="B7" s="4">
        <v>-7.1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-20</v>
      </c>
    </row>
    <row r="10" spans="1:3" x14ac:dyDescent="0.3">
      <c r="A10" s="4" t="s">
        <v>9</v>
      </c>
      <c r="B10" s="4">
        <v>-6.75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11.300000000000004</v>
      </c>
    </row>
    <row r="14" spans="1:3" x14ac:dyDescent="0.3">
      <c r="A14" s="1" t="s">
        <v>13</v>
      </c>
      <c r="B14" s="1">
        <v>7</v>
      </c>
    </row>
    <row r="15" spans="1:3" x14ac:dyDescent="0.3">
      <c r="A15" s="1" t="s">
        <v>14</v>
      </c>
      <c r="B15" s="1">
        <v>8</v>
      </c>
    </row>
    <row r="16" spans="1:3" x14ac:dyDescent="0.3">
      <c r="A16" s="4" t="s">
        <v>15</v>
      </c>
      <c r="B16" s="4">
        <v>5</v>
      </c>
    </row>
    <row r="17" spans="1:2" x14ac:dyDescent="0.3">
      <c r="A17" s="4" t="s">
        <v>16</v>
      </c>
      <c r="B17" s="4">
        <v>12</v>
      </c>
    </row>
    <row r="18" spans="1:2" x14ac:dyDescent="0.3">
      <c r="A18" s="5" t="s">
        <v>17</v>
      </c>
      <c r="B18" s="5">
        <f>-(B16*(B14/100) + B17*(B15/100))</f>
        <v>-1.31</v>
      </c>
    </row>
    <row r="19" spans="1:2" x14ac:dyDescent="0.3">
      <c r="A19" s="5" t="s">
        <v>18</v>
      </c>
      <c r="B19" s="5">
        <f>B13+B18</f>
        <v>9.9900000000000038</v>
      </c>
    </row>
    <row r="20" spans="1:2" x14ac:dyDescent="0.3">
      <c r="A20" s="4" t="s">
        <v>19</v>
      </c>
      <c r="B20" s="4">
        <v>0</v>
      </c>
    </row>
    <row r="21" spans="1:2" x14ac:dyDescent="0.3">
      <c r="A21" s="5" t="s">
        <v>20</v>
      </c>
      <c r="B21" s="5">
        <f>MAX(0, B19-B20)</f>
        <v>9.9900000000000038</v>
      </c>
    </row>
    <row r="22" spans="1:2" x14ac:dyDescent="0.3">
      <c r="A22" s="1" t="s">
        <v>21</v>
      </c>
      <c r="B22" s="1">
        <v>45</v>
      </c>
    </row>
    <row r="23" spans="1:2" x14ac:dyDescent="0.3">
      <c r="A23" s="5" t="s">
        <v>22</v>
      </c>
      <c r="B23" s="5">
        <f>-B21*(B22/100)</f>
        <v>-4.4955000000000016</v>
      </c>
    </row>
    <row r="24" spans="1:2" x14ac:dyDescent="0.3">
      <c r="A24" s="5" t="s">
        <v>23</v>
      </c>
      <c r="B24" s="5">
        <f>B19+B23</f>
        <v>5.4945000000000022</v>
      </c>
    </row>
    <row r="26" spans="1:2" x14ac:dyDescent="0.3">
      <c r="A26" s="2" t="s">
        <v>24</v>
      </c>
      <c r="B26" s="2"/>
    </row>
    <row r="27" spans="1:2" x14ac:dyDescent="0.3">
      <c r="A27" s="4" t="s">
        <v>25</v>
      </c>
      <c r="B27" s="4">
        <v>35.03</v>
      </c>
    </row>
    <row r="28" spans="1:2" x14ac:dyDescent="0.3">
      <c r="A28" s="4" t="s">
        <v>26</v>
      </c>
      <c r="B28" s="4">
        <v>-1</v>
      </c>
    </row>
    <row r="29" spans="1:2" x14ac:dyDescent="0.3">
      <c r="A29" s="5" t="s">
        <v>27</v>
      </c>
      <c r="B29" s="5">
        <f>B27+B28+B24</f>
        <v>39.524500000000003</v>
      </c>
    </row>
    <row r="30" spans="1:2" x14ac:dyDescent="0.3">
      <c r="A30" s="5" t="s">
        <v>28</v>
      </c>
      <c r="B30" s="5">
        <f>(B24/B29)*100</f>
        <v>13.901504130349535</v>
      </c>
    </row>
    <row r="32" spans="1:2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5.4945000000000022</v>
      </c>
    </row>
    <row r="34" spans="1:3" x14ac:dyDescent="0.3">
      <c r="A34" s="5" t="s">
        <v>31</v>
      </c>
      <c r="B34" s="5">
        <f>-(B10+B11+B12)</f>
        <v>7</v>
      </c>
    </row>
    <row r="35" spans="1:3" x14ac:dyDescent="0.3">
      <c r="A35" s="4" t="s">
        <v>32</v>
      </c>
      <c r="B35" s="4">
        <v>2.2000000000000002</v>
      </c>
    </row>
    <row r="36" spans="1:3" x14ac:dyDescent="0.3">
      <c r="A36" s="5" t="s">
        <v>33</v>
      </c>
      <c r="B36" s="5">
        <f>B33+B34+B35</f>
        <v>14.694500000000001</v>
      </c>
    </row>
    <row r="37" spans="1:3" x14ac:dyDescent="0.3">
      <c r="A37" s="4" t="s">
        <v>64</v>
      </c>
      <c r="B37" s="4">
        <v>26.72</v>
      </c>
    </row>
    <row r="38" spans="1:3" x14ac:dyDescent="0.3">
      <c r="A38" s="4" t="s">
        <v>34</v>
      </c>
      <c r="B38" s="4">
        <f>B5*0.2-B37</f>
        <v>3.360000000000003</v>
      </c>
    </row>
    <row r="39" spans="1:3" x14ac:dyDescent="0.3">
      <c r="A39" s="4" t="s">
        <v>35</v>
      </c>
      <c r="B39" s="4">
        <f>4.8</f>
        <v>4.8</v>
      </c>
      <c r="C39" t="s">
        <v>68</v>
      </c>
    </row>
    <row r="40" spans="1:3" x14ac:dyDescent="0.3">
      <c r="A40" s="5" t="s">
        <v>36</v>
      </c>
      <c r="B40" s="5">
        <f>B36+B38+B39</f>
        <v>22.854500000000005</v>
      </c>
    </row>
    <row r="42" spans="1:3" x14ac:dyDescent="0.3">
      <c r="A42" s="2" t="s">
        <v>37</v>
      </c>
      <c r="B42" s="2"/>
    </row>
    <row r="43" spans="1:3" x14ac:dyDescent="0.3">
      <c r="A43" s="6" t="s">
        <v>38</v>
      </c>
      <c r="B43" s="6"/>
    </row>
    <row r="44" spans="1:3" x14ac:dyDescent="0.3">
      <c r="A44" s="5" t="s">
        <v>39</v>
      </c>
      <c r="B44" s="5">
        <f>B5*0.8</f>
        <v>120.32000000000001</v>
      </c>
    </row>
    <row r="45" spans="1:3" x14ac:dyDescent="0.3">
      <c r="A45" s="4" t="s">
        <v>40</v>
      </c>
      <c r="B45" s="4">
        <v>25.8</v>
      </c>
    </row>
    <row r="46" spans="1:3" x14ac:dyDescent="0.3">
      <c r="A46" s="4" t="s">
        <v>63</v>
      </c>
      <c r="B46" s="4">
        <v>0</v>
      </c>
    </row>
    <row r="47" spans="1:3" x14ac:dyDescent="0.3">
      <c r="A47" s="4" t="s">
        <v>62</v>
      </c>
      <c r="B47" s="4">
        <f>B46+B17</f>
        <v>12</v>
      </c>
    </row>
    <row r="48" spans="1:3" x14ac:dyDescent="0.3">
      <c r="A48" s="5" t="s">
        <v>42</v>
      </c>
      <c r="B48" s="5">
        <f>B44+B45+B47</f>
        <v>158.12</v>
      </c>
    </row>
    <row r="50" spans="1:2" x14ac:dyDescent="0.3">
      <c r="A50" s="6" t="s">
        <v>43</v>
      </c>
      <c r="B50" s="6"/>
    </row>
    <row r="51" spans="1:2" x14ac:dyDescent="0.3">
      <c r="A51" s="5" t="s">
        <v>44</v>
      </c>
      <c r="B51" s="5">
        <f>-B6</f>
        <v>95</v>
      </c>
    </row>
    <row r="52" spans="1:2" x14ac:dyDescent="0.3">
      <c r="A52" s="5" t="s">
        <v>45</v>
      </c>
      <c r="B52" s="5">
        <f>-B7</f>
        <v>7.1</v>
      </c>
    </row>
    <row r="53" spans="1:2" x14ac:dyDescent="0.3">
      <c r="A53" s="5" t="s">
        <v>46</v>
      </c>
      <c r="B53" s="5">
        <f>-(B8+B9)</f>
        <v>30</v>
      </c>
    </row>
    <row r="54" spans="1:2" x14ac:dyDescent="0.3">
      <c r="A54" s="5" t="s">
        <v>47</v>
      </c>
      <c r="B54" s="5">
        <f>-B18</f>
        <v>1.31</v>
      </c>
    </row>
    <row r="55" spans="1:2" x14ac:dyDescent="0.3">
      <c r="A55" s="5" t="s">
        <v>48</v>
      </c>
      <c r="B55" s="5">
        <f>-B23</f>
        <v>4.4955000000000016</v>
      </c>
    </row>
    <row r="56" spans="1:2" x14ac:dyDescent="0.3">
      <c r="A56" s="4" t="s">
        <v>49</v>
      </c>
      <c r="B56" s="4">
        <v>0</v>
      </c>
    </row>
    <row r="57" spans="1:2" x14ac:dyDescent="0.3">
      <c r="A57" s="4" t="s">
        <v>50</v>
      </c>
      <c r="B57" s="4">
        <v>17</v>
      </c>
    </row>
    <row r="58" spans="1:2" x14ac:dyDescent="0.3">
      <c r="A58" s="5" t="s">
        <v>51</v>
      </c>
      <c r="B58" s="5">
        <f>-B28</f>
        <v>1</v>
      </c>
    </row>
    <row r="59" spans="1:2" x14ac:dyDescent="0.3">
      <c r="A59" s="5" t="s">
        <v>52</v>
      </c>
      <c r="B59" s="5">
        <f>SUM(B51:B58)</f>
        <v>155.90549999999999</v>
      </c>
    </row>
    <row r="61" spans="1:2" x14ac:dyDescent="0.3">
      <c r="A61" s="5" t="s">
        <v>53</v>
      </c>
      <c r="B61" s="5">
        <f>B48-B59</f>
        <v>2.2145000000000152</v>
      </c>
    </row>
    <row r="62" spans="1:2" x14ac:dyDescent="0.3">
      <c r="A62" s="4" t="s">
        <v>54</v>
      </c>
      <c r="B62" s="4">
        <v>11.26</v>
      </c>
    </row>
    <row r="63" spans="1:2" x14ac:dyDescent="0.3">
      <c r="A63" s="5" t="s">
        <v>55</v>
      </c>
      <c r="B63" s="5">
        <f>B61+B62</f>
        <v>13.474500000000015</v>
      </c>
    </row>
  </sheetData>
  <phoneticPr fontId="5" type="noConversion"/>
  <pageMargins left="0.75" right="0.75" top="1" bottom="1" header="0.5" footer="0.5"/>
  <pageSetup paperSize="9" orientation="portrait" horizontalDpi="4294967293" vertic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A27C3-61FD-40B5-8531-C2A107CE4E67}">
  <dimension ref="A1:C62"/>
  <sheetViews>
    <sheetView topLeftCell="A34" zoomScale="130" zoomScaleNormal="130" workbookViewId="0">
      <selection activeCell="A59" sqref="A59:XFD59"/>
    </sheetView>
  </sheetViews>
  <sheetFormatPr baseColWidth="10" defaultColWidth="8.88671875" defaultRowHeight="14.4" x14ac:dyDescent="0.3"/>
  <cols>
    <col min="1" max="1" width="65" customWidth="1"/>
    <col min="2" max="2" width="25" customWidth="1"/>
    <col min="3" max="3" width="13.21875" bestFit="1" customWidth="1"/>
  </cols>
  <sheetData>
    <row r="1" spans="1:3" x14ac:dyDescent="0.3">
      <c r="A1" s="3" t="s">
        <v>0</v>
      </c>
      <c r="B1" s="3" t="s">
        <v>56</v>
      </c>
      <c r="C1" s="3" t="s">
        <v>60</v>
      </c>
    </row>
    <row r="2" spans="1:3" x14ac:dyDescent="0.3">
      <c r="A2" s="2" t="s">
        <v>1</v>
      </c>
      <c r="B2" s="2"/>
    </row>
    <row r="3" spans="1:3" x14ac:dyDescent="0.3">
      <c r="A3" s="4" t="s">
        <v>2</v>
      </c>
      <c r="B3" s="4">
        <v>47000</v>
      </c>
    </row>
    <row r="4" spans="1:3" x14ac:dyDescent="0.3">
      <c r="A4" s="4" t="s">
        <v>3</v>
      </c>
      <c r="B4" s="4">
        <v>3200</v>
      </c>
    </row>
    <row r="5" spans="1:3" x14ac:dyDescent="0.3">
      <c r="A5" s="5" t="s">
        <v>4</v>
      </c>
      <c r="B5" s="5">
        <f>B3*B4/1000000</f>
        <v>150.4</v>
      </c>
    </row>
    <row r="6" spans="1:3" x14ac:dyDescent="0.3">
      <c r="A6" s="4" t="s">
        <v>5</v>
      </c>
      <c r="B6" s="4">
        <v>-95</v>
      </c>
    </row>
    <row r="7" spans="1:3" x14ac:dyDescent="0.3">
      <c r="A7" s="4" t="s">
        <v>6</v>
      </c>
      <c r="B7" s="4">
        <v>-7.1</v>
      </c>
    </row>
    <row r="8" spans="1:3" x14ac:dyDescent="0.3">
      <c r="A8" s="4" t="s">
        <v>7</v>
      </c>
      <c r="B8" s="4">
        <v>-10</v>
      </c>
    </row>
    <row r="9" spans="1:3" x14ac:dyDescent="0.3">
      <c r="A9" s="4" t="s">
        <v>8</v>
      </c>
      <c r="B9" s="4">
        <v>-20</v>
      </c>
    </row>
    <row r="10" spans="1:3" x14ac:dyDescent="0.3">
      <c r="A10" s="4" t="s">
        <v>9</v>
      </c>
      <c r="B10" s="4">
        <v>-4</v>
      </c>
    </row>
    <row r="11" spans="1:3" x14ac:dyDescent="0.3">
      <c r="A11" s="1" t="s">
        <v>10</v>
      </c>
      <c r="B11" s="1">
        <v>-0.25</v>
      </c>
    </row>
    <row r="12" spans="1:3" x14ac:dyDescent="0.3">
      <c r="A12" s="4" t="s">
        <v>11</v>
      </c>
      <c r="B12" s="4">
        <v>0</v>
      </c>
    </row>
    <row r="13" spans="1:3" x14ac:dyDescent="0.3">
      <c r="A13" s="5" t="s">
        <v>12</v>
      </c>
      <c r="B13" s="5">
        <f>SUM(B5:B12)</f>
        <v>14.050000000000004</v>
      </c>
    </row>
    <row r="14" spans="1:3" x14ac:dyDescent="0.3">
      <c r="A14" s="1" t="s">
        <v>13</v>
      </c>
      <c r="B14" s="1">
        <v>6</v>
      </c>
      <c r="C14" s="7" t="s">
        <v>69</v>
      </c>
    </row>
    <row r="15" spans="1:3" x14ac:dyDescent="0.3">
      <c r="A15" s="1" t="s">
        <v>14</v>
      </c>
      <c r="B15" s="1">
        <v>6</v>
      </c>
      <c r="C15">
        <v>6</v>
      </c>
    </row>
    <row r="16" spans="1:3" x14ac:dyDescent="0.3">
      <c r="A16" s="4" t="s">
        <v>15</v>
      </c>
      <c r="B16" s="4">
        <v>5</v>
      </c>
    </row>
    <row r="17" spans="1:2" x14ac:dyDescent="0.3">
      <c r="A17" s="4" t="s">
        <v>16</v>
      </c>
      <c r="B17" s="4">
        <v>12</v>
      </c>
    </row>
    <row r="18" spans="1:2" x14ac:dyDescent="0.3">
      <c r="A18" s="5" t="s">
        <v>17</v>
      </c>
      <c r="B18" s="5">
        <f>-(B16*(B14/100) + B17*(B15/100))</f>
        <v>-1.02</v>
      </c>
    </row>
    <row r="19" spans="1:2" x14ac:dyDescent="0.3">
      <c r="A19" s="5" t="s">
        <v>18</v>
      </c>
      <c r="B19" s="5">
        <f>B13+B18</f>
        <v>13.030000000000005</v>
      </c>
    </row>
    <row r="20" spans="1:2" x14ac:dyDescent="0.3">
      <c r="A20" s="4" t="s">
        <v>19</v>
      </c>
      <c r="B20" s="4">
        <v>0</v>
      </c>
    </row>
    <row r="21" spans="1:2" x14ac:dyDescent="0.3">
      <c r="A21" s="5" t="s">
        <v>20</v>
      </c>
      <c r="B21" s="5">
        <f>MAX(0, B19-B20)</f>
        <v>13.030000000000005</v>
      </c>
    </row>
    <row r="22" spans="1:2" x14ac:dyDescent="0.3">
      <c r="A22" s="1" t="s">
        <v>21</v>
      </c>
      <c r="B22" s="1">
        <v>45</v>
      </c>
    </row>
    <row r="23" spans="1:2" x14ac:dyDescent="0.3">
      <c r="A23" s="5" t="s">
        <v>22</v>
      </c>
      <c r="B23" s="5">
        <f>-B21*(B22/100)</f>
        <v>-5.8635000000000019</v>
      </c>
    </row>
    <row r="24" spans="1:2" x14ac:dyDescent="0.3">
      <c r="A24" s="5" t="s">
        <v>23</v>
      </c>
      <c r="B24" s="5">
        <f>B19+B23</f>
        <v>7.1665000000000028</v>
      </c>
    </row>
    <row r="26" spans="1:2" x14ac:dyDescent="0.3">
      <c r="A26" s="2" t="s">
        <v>24</v>
      </c>
      <c r="B26" s="2"/>
    </row>
    <row r="27" spans="1:2" x14ac:dyDescent="0.3">
      <c r="A27" s="4" t="s">
        <v>25</v>
      </c>
      <c r="B27" s="4">
        <v>40.98</v>
      </c>
    </row>
    <row r="28" spans="1:2" x14ac:dyDescent="0.3">
      <c r="A28" s="4" t="s">
        <v>26</v>
      </c>
      <c r="B28" s="4">
        <v>-1</v>
      </c>
    </row>
    <row r="29" spans="1:2" x14ac:dyDescent="0.3">
      <c r="A29" s="5" t="s">
        <v>27</v>
      </c>
      <c r="B29" s="5">
        <f>B27+B28+B24</f>
        <v>47.146500000000003</v>
      </c>
    </row>
    <row r="30" spans="1:2" x14ac:dyDescent="0.3">
      <c r="A30" s="5" t="s">
        <v>28</v>
      </c>
      <c r="B30" s="5">
        <f>(B24/B27)*100</f>
        <v>17.487798926305523</v>
      </c>
    </row>
    <row r="32" spans="1:2" x14ac:dyDescent="0.3">
      <c r="A32" s="2" t="s">
        <v>29</v>
      </c>
      <c r="B32" s="2"/>
    </row>
    <row r="33" spans="1:3" x14ac:dyDescent="0.3">
      <c r="A33" s="5" t="s">
        <v>30</v>
      </c>
      <c r="B33" s="5">
        <f>B24</f>
        <v>7.1665000000000028</v>
      </c>
    </row>
    <row r="34" spans="1:3" x14ac:dyDescent="0.3">
      <c r="A34" s="5" t="s">
        <v>31</v>
      </c>
      <c r="B34" s="5">
        <f>-(B10+B11+B12)</f>
        <v>4.25</v>
      </c>
    </row>
    <row r="35" spans="1:3" x14ac:dyDescent="0.3">
      <c r="A35" s="4" t="s">
        <v>32</v>
      </c>
      <c r="B35" s="4">
        <v>2.2000000000000002</v>
      </c>
    </row>
    <row r="36" spans="1:3" x14ac:dyDescent="0.3">
      <c r="A36" s="5" t="s">
        <v>33</v>
      </c>
      <c r="B36" s="5">
        <f>B33+B34+B35</f>
        <v>13.616500000000002</v>
      </c>
    </row>
    <row r="37" spans="1:3" x14ac:dyDescent="0.3">
      <c r="A37" s="4" t="s">
        <v>64</v>
      </c>
      <c r="B37" s="4">
        <v>26.72</v>
      </c>
    </row>
    <row r="38" spans="1:3" x14ac:dyDescent="0.3">
      <c r="A38" s="4" t="s">
        <v>34</v>
      </c>
      <c r="B38" s="4">
        <f>B5*0.2-B37</f>
        <v>3.360000000000003</v>
      </c>
    </row>
    <row r="39" spans="1:3" x14ac:dyDescent="0.3">
      <c r="A39" s="4" t="s">
        <v>35</v>
      </c>
      <c r="B39" s="4">
        <f>4.8</f>
        <v>4.8</v>
      </c>
      <c r="C39" t="s">
        <v>68</v>
      </c>
    </row>
    <row r="40" spans="1:3" x14ac:dyDescent="0.3">
      <c r="A40" s="5" t="s">
        <v>36</v>
      </c>
      <c r="B40" s="5">
        <f>B36+B38+B39</f>
        <v>21.776500000000006</v>
      </c>
    </row>
    <row r="42" spans="1:3" x14ac:dyDescent="0.3">
      <c r="A42" s="2" t="s">
        <v>37</v>
      </c>
      <c r="B42" s="2"/>
    </row>
    <row r="43" spans="1:3" x14ac:dyDescent="0.3">
      <c r="A43" s="6" t="s">
        <v>38</v>
      </c>
      <c r="B43" s="6"/>
    </row>
    <row r="44" spans="1:3" x14ac:dyDescent="0.3">
      <c r="A44" s="5" t="s">
        <v>39</v>
      </c>
      <c r="B44" s="5">
        <f>B5*0.8</f>
        <v>120.32000000000001</v>
      </c>
    </row>
    <row r="45" spans="1:3" x14ac:dyDescent="0.3">
      <c r="A45" s="4" t="s">
        <v>40</v>
      </c>
      <c r="B45" s="4">
        <v>25.8</v>
      </c>
    </row>
    <row r="46" spans="1:3" x14ac:dyDescent="0.3">
      <c r="A46" s="4" t="s">
        <v>63</v>
      </c>
      <c r="B46" s="4">
        <v>0</v>
      </c>
    </row>
    <row r="47" spans="1:3" x14ac:dyDescent="0.3">
      <c r="A47" s="4" t="s">
        <v>62</v>
      </c>
      <c r="B47" s="4">
        <f>B46+B17</f>
        <v>12</v>
      </c>
    </row>
    <row r="48" spans="1:3" x14ac:dyDescent="0.3">
      <c r="A48" s="5" t="s">
        <v>42</v>
      </c>
      <c r="B48" s="5">
        <f>B44+B45+B47</f>
        <v>158.12</v>
      </c>
    </row>
    <row r="49" spans="1:2" x14ac:dyDescent="0.3">
      <c r="A49" s="6" t="s">
        <v>43</v>
      </c>
      <c r="B49" s="6"/>
    </row>
    <row r="50" spans="1:2" x14ac:dyDescent="0.3">
      <c r="A50" s="5" t="s">
        <v>44</v>
      </c>
      <c r="B50" s="5">
        <f>-B6</f>
        <v>95</v>
      </c>
    </row>
    <row r="51" spans="1:2" x14ac:dyDescent="0.3">
      <c r="A51" s="5" t="s">
        <v>45</v>
      </c>
      <c r="B51" s="5">
        <f>-B7</f>
        <v>7.1</v>
      </c>
    </row>
    <row r="52" spans="1:2" x14ac:dyDescent="0.3">
      <c r="A52" s="5" t="s">
        <v>46</v>
      </c>
      <c r="B52" s="5">
        <f>-(B8+B9)</f>
        <v>30</v>
      </c>
    </row>
    <row r="53" spans="1:2" x14ac:dyDescent="0.3">
      <c r="A53" s="5" t="s">
        <v>47</v>
      </c>
      <c r="B53" s="5">
        <f>-B18</f>
        <v>1.02</v>
      </c>
    </row>
    <row r="54" spans="1:2" x14ac:dyDescent="0.3">
      <c r="A54" s="5" t="s">
        <v>48</v>
      </c>
      <c r="B54" s="5">
        <f>-B23</f>
        <v>5.8635000000000019</v>
      </c>
    </row>
    <row r="55" spans="1:2" x14ac:dyDescent="0.3">
      <c r="A55" s="4" t="s">
        <v>49</v>
      </c>
      <c r="B55" s="4">
        <v>0</v>
      </c>
    </row>
    <row r="56" spans="1:2" x14ac:dyDescent="0.3">
      <c r="A56" s="4" t="s">
        <v>50</v>
      </c>
      <c r="B56" s="4">
        <v>12</v>
      </c>
    </row>
    <row r="57" spans="1:2" x14ac:dyDescent="0.3">
      <c r="A57" s="5" t="s">
        <v>51</v>
      </c>
      <c r="B57" s="5">
        <f>-B28</f>
        <v>1</v>
      </c>
    </row>
    <row r="58" spans="1:2" x14ac:dyDescent="0.3">
      <c r="A58" s="5" t="s">
        <v>52</v>
      </c>
      <c r="B58" s="5">
        <f>SUM(B50:B57)</f>
        <v>151.98349999999999</v>
      </c>
    </row>
    <row r="59" spans="1:2" x14ac:dyDescent="0.3">
      <c r="A59" s="6" t="s">
        <v>115</v>
      </c>
      <c r="B59" s="6"/>
    </row>
    <row r="60" spans="1:2" x14ac:dyDescent="0.3">
      <c r="A60" s="5" t="s">
        <v>53</v>
      </c>
      <c r="B60" s="5">
        <f>B48-B58</f>
        <v>6.1365000000000123</v>
      </c>
    </row>
    <row r="61" spans="1:2" x14ac:dyDescent="0.3">
      <c r="A61" s="4" t="s">
        <v>54</v>
      </c>
      <c r="B61" s="4">
        <v>11.26</v>
      </c>
    </row>
    <row r="62" spans="1:2" x14ac:dyDescent="0.3">
      <c r="A62" s="5" t="s">
        <v>55</v>
      </c>
      <c r="B62" s="5">
        <f>B60+B61</f>
        <v>17.39650000000001</v>
      </c>
    </row>
  </sheetData>
  <pageMargins left="0.75" right="0.75" top="1" bottom="1" header="0.5" footer="0.5"/>
  <pageSetup paperSize="9" orientation="portrait" horizontalDpi="4294967293" vertic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B656-79A9-4C5A-8517-D8CA2ED228B1}">
  <dimension ref="A1:CB92"/>
  <sheetViews>
    <sheetView tabSelected="1" zoomScale="130" zoomScaleNormal="130" workbookViewId="0">
      <selection activeCell="C20" sqref="C20"/>
    </sheetView>
  </sheetViews>
  <sheetFormatPr baseColWidth="10" defaultColWidth="8.88671875" defaultRowHeight="14.4" x14ac:dyDescent="0.3"/>
  <cols>
    <col min="1" max="1" width="57.33203125" customWidth="1"/>
    <col min="2" max="2" width="25" customWidth="1"/>
    <col min="3" max="3" width="13.21875" bestFit="1" customWidth="1"/>
  </cols>
  <sheetData>
    <row r="1" spans="1:80" x14ac:dyDescent="0.3">
      <c r="A1" s="3" t="s">
        <v>0</v>
      </c>
      <c r="B1" s="3" t="s">
        <v>56</v>
      </c>
      <c r="C1" s="3" t="s">
        <v>60</v>
      </c>
      <c r="D1" s="3"/>
      <c r="E1" s="3"/>
      <c r="F1" s="3"/>
    </row>
    <row r="2" spans="1:80" x14ac:dyDescent="0.3">
      <c r="A2" s="2" t="s">
        <v>1</v>
      </c>
      <c r="B2" s="2"/>
    </row>
    <row r="3" spans="1:80" x14ac:dyDescent="0.3">
      <c r="A3" s="4" t="s">
        <v>2</v>
      </c>
      <c r="B3" s="10">
        <v>45326</v>
      </c>
    </row>
    <row r="4" spans="1:80" x14ac:dyDescent="0.3">
      <c r="A4" s="4" t="s">
        <v>3</v>
      </c>
      <c r="B4" s="4">
        <v>3200</v>
      </c>
    </row>
    <row r="5" spans="1:80" x14ac:dyDescent="0.3">
      <c r="A5" s="5" t="s">
        <v>4</v>
      </c>
      <c r="B5" s="5">
        <f>B3*B4/1000000</f>
        <v>145.04320000000001</v>
      </c>
    </row>
    <row r="6" spans="1:80" s="6" customFormat="1" x14ac:dyDescent="0.3">
      <c r="A6" s="6" t="s">
        <v>81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</row>
    <row r="7" spans="1:80" x14ac:dyDescent="0.3">
      <c r="A7" s="4" t="s">
        <v>71</v>
      </c>
      <c r="B7" s="4">
        <v>23.65</v>
      </c>
      <c r="C7" t="s">
        <v>72</v>
      </c>
    </row>
    <row r="8" spans="1:80" x14ac:dyDescent="0.3">
      <c r="A8" s="4" t="s">
        <v>97</v>
      </c>
      <c r="B8" s="4">
        <v>2</v>
      </c>
    </row>
    <row r="9" spans="1:80" x14ac:dyDescent="0.3">
      <c r="A9" s="4" t="s">
        <v>98</v>
      </c>
      <c r="B9" s="4">
        <v>1.1299999999999999</v>
      </c>
    </row>
    <row r="10" spans="1:80" x14ac:dyDescent="0.3">
      <c r="A10" s="6" t="s">
        <v>83</v>
      </c>
      <c r="B10" s="6"/>
      <c r="C10" t="s">
        <v>73</v>
      </c>
    </row>
    <row r="11" spans="1:80" x14ac:dyDescent="0.3">
      <c r="A11" s="4" t="s">
        <v>74</v>
      </c>
      <c r="B11" s="4">
        <v>27.62</v>
      </c>
    </row>
    <row r="12" spans="1:80" x14ac:dyDescent="0.3">
      <c r="A12" s="4" t="s">
        <v>75</v>
      </c>
      <c r="B12" s="4">
        <v>6.29</v>
      </c>
    </row>
    <row r="13" spans="1:80" x14ac:dyDescent="0.3">
      <c r="A13" s="4" t="s">
        <v>76</v>
      </c>
      <c r="B13" s="4">
        <v>4.51</v>
      </c>
    </row>
    <row r="14" spans="1:80" x14ac:dyDescent="0.3">
      <c r="A14" s="4" t="s">
        <v>77</v>
      </c>
      <c r="B14" s="4">
        <v>3.15</v>
      </c>
    </row>
    <row r="15" spans="1:80" x14ac:dyDescent="0.3">
      <c r="A15" s="4" t="s">
        <v>78</v>
      </c>
      <c r="B15" s="4">
        <v>0.74</v>
      </c>
    </row>
    <row r="16" spans="1:80" x14ac:dyDescent="0.3">
      <c r="A16" s="4" t="s">
        <v>95</v>
      </c>
      <c r="B16" s="4">
        <v>2.6</v>
      </c>
    </row>
    <row r="17" spans="1:80" x14ac:dyDescent="0.3">
      <c r="A17" s="4" t="s">
        <v>96</v>
      </c>
      <c r="B17" s="4">
        <v>2.12</v>
      </c>
    </row>
    <row r="18" spans="1:80" s="6" customFormat="1" x14ac:dyDescent="0.3">
      <c r="A18" s="6" t="s">
        <v>82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</row>
    <row r="19" spans="1:80" x14ac:dyDescent="0.3">
      <c r="A19" s="4" t="s">
        <v>93</v>
      </c>
      <c r="B19" s="4">
        <v>40</v>
      </c>
      <c r="C19" t="s">
        <v>94</v>
      </c>
    </row>
    <row r="20" spans="1:80" x14ac:dyDescent="0.3">
      <c r="A20" s="5" t="s">
        <v>79</v>
      </c>
      <c r="B20" s="5">
        <f>ROUNDUP(SUM(B11:B15)*(B19/100),2)</f>
        <v>16.930000000000003</v>
      </c>
    </row>
    <row r="21" spans="1:80" s="6" customFormat="1" x14ac:dyDescent="0.3">
      <c r="A21" s="6" t="s">
        <v>84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</row>
    <row r="22" spans="1:80" x14ac:dyDescent="0.3">
      <c r="A22" s="4" t="s">
        <v>90</v>
      </c>
      <c r="B22" s="4">
        <v>5.5</v>
      </c>
    </row>
    <row r="23" spans="1:80" x14ac:dyDescent="0.3">
      <c r="A23" s="4" t="s">
        <v>80</v>
      </c>
      <c r="B23" s="4">
        <v>0.65</v>
      </c>
    </row>
    <row r="24" spans="1:80" x14ac:dyDescent="0.3">
      <c r="A24" s="1" t="s">
        <v>10</v>
      </c>
      <c r="B24" s="1">
        <v>0.25</v>
      </c>
    </row>
    <row r="25" spans="1:80" x14ac:dyDescent="0.3">
      <c r="A25" s="5" t="s">
        <v>105</v>
      </c>
      <c r="B25" s="5">
        <f>SUM(B22:B24)</f>
        <v>6.4</v>
      </c>
    </row>
    <row r="26" spans="1:80" s="4" customFormat="1" x14ac:dyDescent="0.3">
      <c r="A26" s="6" t="s">
        <v>85</v>
      </c>
      <c r="B26" s="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</row>
    <row r="27" spans="1:80" x14ac:dyDescent="0.3">
      <c r="A27" s="4" t="s">
        <v>86</v>
      </c>
      <c r="B27" s="4">
        <v>3.25</v>
      </c>
    </row>
    <row r="28" spans="1:80" x14ac:dyDescent="0.3">
      <c r="A28" s="4" t="s">
        <v>87</v>
      </c>
      <c r="B28" s="4">
        <v>7</v>
      </c>
    </row>
    <row r="29" spans="1:80" x14ac:dyDescent="0.3">
      <c r="A29" s="4" t="s">
        <v>91</v>
      </c>
      <c r="B29" s="4">
        <v>2</v>
      </c>
    </row>
    <row r="30" spans="1:80" x14ac:dyDescent="0.3">
      <c r="A30" s="4" t="s">
        <v>99</v>
      </c>
      <c r="B30" s="4">
        <v>0.8</v>
      </c>
    </row>
    <row r="31" spans="1:80" x14ac:dyDescent="0.3">
      <c r="A31" s="4" t="s">
        <v>106</v>
      </c>
      <c r="B31" s="4">
        <v>1.78</v>
      </c>
    </row>
    <row r="32" spans="1:80" x14ac:dyDescent="0.3">
      <c r="A32" s="4" t="s">
        <v>107</v>
      </c>
      <c r="B32" s="4">
        <v>0.48</v>
      </c>
    </row>
    <row r="33" spans="1:3" x14ac:dyDescent="0.3">
      <c r="A33" s="6" t="s">
        <v>92</v>
      </c>
      <c r="B33" s="6"/>
    </row>
    <row r="34" spans="1:3" x14ac:dyDescent="0.3">
      <c r="A34" s="4" t="s">
        <v>100</v>
      </c>
      <c r="B34" s="4">
        <v>8</v>
      </c>
    </row>
    <row r="35" spans="1:3" x14ac:dyDescent="0.3">
      <c r="A35" s="4" t="s">
        <v>101</v>
      </c>
      <c r="B35" s="4">
        <v>3.5</v>
      </c>
    </row>
    <row r="36" spans="1:3" x14ac:dyDescent="0.3">
      <c r="A36" s="4" t="s">
        <v>102</v>
      </c>
      <c r="B36" s="4">
        <v>2.5</v>
      </c>
    </row>
    <row r="37" spans="1:3" x14ac:dyDescent="0.3">
      <c r="A37" s="4" t="s">
        <v>103</v>
      </c>
      <c r="B37" s="4">
        <v>1</v>
      </c>
    </row>
    <row r="38" spans="1:3" x14ac:dyDescent="0.3">
      <c r="A38" s="1" t="s">
        <v>104</v>
      </c>
      <c r="B38" s="1">
        <v>3.88</v>
      </c>
    </row>
    <row r="39" spans="1:3" x14ac:dyDescent="0.3">
      <c r="A39" s="5" t="s">
        <v>89</v>
      </c>
      <c r="B39" s="5">
        <f>-SUM(B7:B9,(B11:B17),B20,B25,(B27:B32),B34:B38)</f>
        <v>-131.33000000000001</v>
      </c>
    </row>
    <row r="40" spans="1:3" x14ac:dyDescent="0.3">
      <c r="A40" s="6" t="s">
        <v>88</v>
      </c>
      <c r="B40" s="6"/>
    </row>
    <row r="41" spans="1:3" x14ac:dyDescent="0.3">
      <c r="A41" s="5" t="s">
        <v>108</v>
      </c>
      <c r="B41" s="5">
        <f>ROUNDUP(SUM(B5,B39),2)</f>
        <v>13.72</v>
      </c>
    </row>
    <row r="42" spans="1:3" x14ac:dyDescent="0.3">
      <c r="A42" s="4" t="s">
        <v>13</v>
      </c>
      <c r="B42" s="4">
        <v>6</v>
      </c>
      <c r="C42" s="7" t="s">
        <v>69</v>
      </c>
    </row>
    <row r="43" spans="1:3" x14ac:dyDescent="0.3">
      <c r="A43" s="4" t="s">
        <v>14</v>
      </c>
      <c r="B43" s="4">
        <v>6.5</v>
      </c>
      <c r="C43" s="7" t="s">
        <v>109</v>
      </c>
    </row>
    <row r="44" spans="1:3" x14ac:dyDescent="0.3">
      <c r="A44" s="4" t="s">
        <v>15</v>
      </c>
      <c r="B44" s="4">
        <v>5</v>
      </c>
    </row>
    <row r="45" spans="1:3" x14ac:dyDescent="0.3">
      <c r="A45" s="4" t="s">
        <v>70</v>
      </c>
      <c r="B45" s="4">
        <v>12</v>
      </c>
    </row>
    <row r="46" spans="1:3" x14ac:dyDescent="0.3">
      <c r="A46" s="5" t="s">
        <v>17</v>
      </c>
      <c r="B46" s="5">
        <f>-(B44*(B42/100) + B45*(B43/100))</f>
        <v>-1.08</v>
      </c>
    </row>
    <row r="47" spans="1:3" x14ac:dyDescent="0.3">
      <c r="A47" s="5" t="s">
        <v>18</v>
      </c>
      <c r="B47" s="5">
        <f>B41+B46</f>
        <v>12.64</v>
      </c>
    </row>
    <row r="48" spans="1:3" x14ac:dyDescent="0.3">
      <c r="A48" s="4" t="s">
        <v>19</v>
      </c>
      <c r="B48" s="4">
        <v>0</v>
      </c>
    </row>
    <row r="49" spans="1:2" x14ac:dyDescent="0.3">
      <c r="A49" s="5" t="s">
        <v>20</v>
      </c>
      <c r="B49" s="5">
        <f>MAX(0, B47-B48)</f>
        <v>12.64</v>
      </c>
    </row>
    <row r="50" spans="1:2" x14ac:dyDescent="0.3">
      <c r="A50" s="1" t="s">
        <v>21</v>
      </c>
      <c r="B50" s="1">
        <v>45</v>
      </c>
    </row>
    <row r="51" spans="1:2" x14ac:dyDescent="0.3">
      <c r="A51" s="5" t="s">
        <v>22</v>
      </c>
      <c r="B51" s="5">
        <f>ROUNDUP(-B49*(B50/100),2)</f>
        <v>-5.6899999999999995</v>
      </c>
    </row>
    <row r="52" spans="1:2" x14ac:dyDescent="0.3">
      <c r="A52" s="5" t="s">
        <v>23</v>
      </c>
      <c r="B52" s="5">
        <f>B47+B51</f>
        <v>6.9500000000000011</v>
      </c>
    </row>
    <row r="54" spans="1:2" x14ac:dyDescent="0.3">
      <c r="A54" s="2" t="s">
        <v>24</v>
      </c>
      <c r="B54" s="2"/>
    </row>
    <row r="55" spans="1:2" x14ac:dyDescent="0.3">
      <c r="A55" s="4" t="s">
        <v>25</v>
      </c>
      <c r="B55" s="4">
        <v>35.03</v>
      </c>
    </row>
    <row r="56" spans="1:2" x14ac:dyDescent="0.3">
      <c r="A56" s="4" t="s">
        <v>26</v>
      </c>
      <c r="B56" s="4">
        <v>-1</v>
      </c>
    </row>
    <row r="57" spans="1:2" x14ac:dyDescent="0.3">
      <c r="A57" s="5" t="s">
        <v>27</v>
      </c>
      <c r="B57" s="5">
        <f>B55+B56+B52</f>
        <v>40.980000000000004</v>
      </c>
    </row>
    <row r="58" spans="1:2" x14ac:dyDescent="0.3">
      <c r="A58" s="5" t="s">
        <v>28</v>
      </c>
      <c r="B58" s="5">
        <f>(B52/B55)*100</f>
        <v>19.840137025406797</v>
      </c>
    </row>
    <row r="60" spans="1:2" x14ac:dyDescent="0.3">
      <c r="A60" s="2" t="s">
        <v>29</v>
      </c>
      <c r="B60" s="2"/>
    </row>
    <row r="61" spans="1:2" x14ac:dyDescent="0.3">
      <c r="A61" s="5" t="s">
        <v>30</v>
      </c>
      <c r="B61" s="5">
        <f>B52</f>
        <v>6.9500000000000011</v>
      </c>
    </row>
    <row r="62" spans="1:2" x14ac:dyDescent="0.3">
      <c r="A62" s="5" t="s">
        <v>31</v>
      </c>
      <c r="B62" s="5">
        <f>B25</f>
        <v>6.4</v>
      </c>
    </row>
    <row r="63" spans="1:2" x14ac:dyDescent="0.3">
      <c r="A63" s="5" t="s">
        <v>110</v>
      </c>
      <c r="B63" s="5">
        <f>B17</f>
        <v>2.12</v>
      </c>
    </row>
    <row r="64" spans="1:2" x14ac:dyDescent="0.3">
      <c r="A64" s="5" t="s">
        <v>33</v>
      </c>
      <c r="B64" s="5">
        <f>B61+B62+B63</f>
        <v>15.470000000000002</v>
      </c>
    </row>
    <row r="65" spans="1:3" x14ac:dyDescent="0.3">
      <c r="A65" s="4" t="s">
        <v>64</v>
      </c>
      <c r="B65" s="4">
        <v>26.72</v>
      </c>
    </row>
    <row r="66" spans="1:3" x14ac:dyDescent="0.3">
      <c r="A66" s="5" t="s">
        <v>34</v>
      </c>
      <c r="B66" s="5">
        <f>ROUNDUP(-(B5*0.2-B65),2)</f>
        <v>-2.2899999999999996</v>
      </c>
    </row>
    <row r="67" spans="1:3" x14ac:dyDescent="0.3">
      <c r="A67" s="4" t="s">
        <v>35</v>
      </c>
      <c r="B67" s="4">
        <f>4.56</f>
        <v>4.5599999999999996</v>
      </c>
      <c r="C67" t="s">
        <v>68</v>
      </c>
    </row>
    <row r="68" spans="1:3" x14ac:dyDescent="0.3">
      <c r="A68" s="5" t="s">
        <v>36</v>
      </c>
      <c r="B68" s="5">
        <f>B64+B66+B67</f>
        <v>17.740000000000002</v>
      </c>
    </row>
    <row r="70" spans="1:3" x14ac:dyDescent="0.3">
      <c r="A70" s="2" t="s">
        <v>37</v>
      </c>
      <c r="B70" s="2"/>
    </row>
    <row r="71" spans="1:3" x14ac:dyDescent="0.3">
      <c r="A71" s="6" t="s">
        <v>38</v>
      </c>
      <c r="B71" s="6"/>
    </row>
    <row r="72" spans="1:3" x14ac:dyDescent="0.3">
      <c r="A72" s="5" t="s">
        <v>39</v>
      </c>
      <c r="B72" s="5">
        <f>B5*0.8</f>
        <v>116.03456000000001</v>
      </c>
    </row>
    <row r="73" spans="1:3" x14ac:dyDescent="0.3">
      <c r="A73" s="4" t="s">
        <v>40</v>
      </c>
      <c r="B73" s="4">
        <v>26.72</v>
      </c>
      <c r="C73" t="s">
        <v>111</v>
      </c>
    </row>
    <row r="74" spans="1:3" x14ac:dyDescent="0.3">
      <c r="A74" s="4" t="s">
        <v>112</v>
      </c>
      <c r="B74" s="4">
        <v>0</v>
      </c>
    </row>
    <row r="75" spans="1:3" x14ac:dyDescent="0.3">
      <c r="A75" s="5" t="s">
        <v>62</v>
      </c>
      <c r="B75" s="5">
        <f>B74+B45</f>
        <v>12</v>
      </c>
    </row>
    <row r="76" spans="1:3" x14ac:dyDescent="0.3">
      <c r="A76" s="5" t="s">
        <v>42</v>
      </c>
      <c r="B76" s="5">
        <f>B72+B73+B75</f>
        <v>154.75456000000003</v>
      </c>
    </row>
    <row r="77" spans="1:3" x14ac:dyDescent="0.3">
      <c r="A77" s="6" t="s">
        <v>43</v>
      </c>
      <c r="B77" s="6"/>
    </row>
    <row r="78" spans="1:3" x14ac:dyDescent="0.3">
      <c r="A78" s="4" t="s">
        <v>116</v>
      </c>
      <c r="B78" s="4">
        <v>22.96</v>
      </c>
      <c r="C78" t="s">
        <v>119</v>
      </c>
    </row>
    <row r="79" spans="1:3" x14ac:dyDescent="0.3">
      <c r="A79" s="5" t="s">
        <v>118</v>
      </c>
      <c r="B79" s="5">
        <f>B8</f>
        <v>2</v>
      </c>
    </row>
    <row r="80" spans="1:3" x14ac:dyDescent="0.3">
      <c r="A80" s="5" t="s">
        <v>117</v>
      </c>
      <c r="B80" s="5">
        <f>SUM(B78:B79)</f>
        <v>24.96</v>
      </c>
    </row>
    <row r="81" spans="1:3" x14ac:dyDescent="0.3">
      <c r="A81" s="5" t="s">
        <v>113</v>
      </c>
      <c r="B81" s="5">
        <f>SUM(B11:B16,B20)</f>
        <v>61.84</v>
      </c>
    </row>
    <row r="82" spans="1:3" x14ac:dyDescent="0.3">
      <c r="A82" s="5" t="s">
        <v>114</v>
      </c>
      <c r="B82" s="5">
        <f>SUM(B27:B32,B34:B37,B9)</f>
        <v>31.44</v>
      </c>
    </row>
    <row r="83" spans="1:3" x14ac:dyDescent="0.3">
      <c r="A83" s="5" t="s">
        <v>47</v>
      </c>
      <c r="B83" s="5">
        <f>-B46</f>
        <v>1.08</v>
      </c>
    </row>
    <row r="84" spans="1:3" x14ac:dyDescent="0.3">
      <c r="A84" s="5" t="s">
        <v>48</v>
      </c>
      <c r="B84" s="5">
        <f>-B51</f>
        <v>5.6899999999999995</v>
      </c>
    </row>
    <row r="85" spans="1:3" x14ac:dyDescent="0.3">
      <c r="A85" s="4" t="s">
        <v>49</v>
      </c>
      <c r="B85" s="4">
        <v>2.5</v>
      </c>
      <c r="C85" t="s">
        <v>120</v>
      </c>
    </row>
    <row r="86" spans="1:3" x14ac:dyDescent="0.3">
      <c r="A86" s="4" t="s">
        <v>50</v>
      </c>
      <c r="B86" s="4">
        <v>17</v>
      </c>
      <c r="C86" t="s">
        <v>121</v>
      </c>
    </row>
    <row r="87" spans="1:3" x14ac:dyDescent="0.3">
      <c r="A87" s="5" t="s">
        <v>51</v>
      </c>
      <c r="B87" s="5">
        <f>-B56</f>
        <v>1</v>
      </c>
    </row>
    <row r="88" spans="1:3" x14ac:dyDescent="0.3">
      <c r="A88" s="5" t="s">
        <v>52</v>
      </c>
      <c r="B88" s="5">
        <f>SUM(B80:B87)</f>
        <v>145.51</v>
      </c>
    </row>
    <row r="89" spans="1:3" x14ac:dyDescent="0.3">
      <c r="A89" s="6" t="s">
        <v>115</v>
      </c>
      <c r="B89" s="6"/>
    </row>
    <row r="90" spans="1:3" x14ac:dyDescent="0.3">
      <c r="A90" s="5" t="s">
        <v>53</v>
      </c>
      <c r="B90" s="5">
        <f>B76-B88</f>
        <v>9.2445600000000354</v>
      </c>
    </row>
    <row r="91" spans="1:3" x14ac:dyDescent="0.3">
      <c r="A91" s="4" t="s">
        <v>54</v>
      </c>
      <c r="B91" s="4">
        <v>10.1</v>
      </c>
      <c r="C91" t="s">
        <v>122</v>
      </c>
    </row>
    <row r="92" spans="1:3" x14ac:dyDescent="0.3">
      <c r="A92" s="5" t="s">
        <v>55</v>
      </c>
      <c r="B92" s="5">
        <f>B90+B91</f>
        <v>19.344560000000037</v>
      </c>
    </row>
  </sheetData>
  <pageMargins left="0.75" right="0.75" top="1" bottom="1" header="0.5" footer="0.5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Formeln</vt:lpstr>
      <vt:lpstr>Sandbox Periode</vt:lpstr>
      <vt:lpstr>Periode 1</vt:lpstr>
      <vt:lpstr>Periode 2</vt:lpstr>
      <vt:lpstr>Periode 3 ALT</vt:lpstr>
      <vt:lpstr>Periode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Bastian Kempe</cp:lastModifiedBy>
  <dcterms:created xsi:type="dcterms:W3CDTF">2026-04-15T21:31:40Z</dcterms:created>
  <dcterms:modified xsi:type="dcterms:W3CDTF">2026-04-28T20:18:40Z</dcterms:modified>
</cp:coreProperties>
</file>