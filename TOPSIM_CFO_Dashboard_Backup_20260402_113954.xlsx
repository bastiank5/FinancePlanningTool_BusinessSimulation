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Github\FinancePlanningTool_BusinessSimulation\"/>
    </mc:Choice>
  </mc:AlternateContent>
  <xr:revisionPtr revIDLastSave="0" documentId="13_ncr:1_{01FE251E-E1B4-4DF5-A302-8378B05E907F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1_Ist_Daten" sheetId="1" r:id="rId1"/>
    <sheet name="2_Team_Inputs" sheetId="2" r:id="rId2"/>
    <sheet name="3_Szenario_Rechn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C11" i="3"/>
  <c r="B11" i="3"/>
  <c r="D9" i="3"/>
  <c r="C9" i="3"/>
  <c r="B9" i="3"/>
  <c r="D8" i="3"/>
  <c r="D10" i="3" s="1"/>
  <c r="D12" i="3" s="1"/>
  <c r="C8" i="3"/>
  <c r="C10" i="3" s="1"/>
  <c r="C12" i="3" s="1"/>
  <c r="B8" i="3"/>
  <c r="B10" i="3" s="1"/>
  <c r="B12" i="3" s="1"/>
  <c r="C13" i="3" l="1"/>
  <c r="C14" i="3" s="1"/>
  <c r="C15" i="3" s="1"/>
  <c r="D13" i="3"/>
  <c r="D14" i="3" s="1"/>
  <c r="D15" i="3" s="1"/>
  <c r="B13" i="3"/>
  <c r="B14" i="3" s="1"/>
  <c r="B15" i="3" s="1"/>
  <c r="D17" i="3" l="1"/>
  <c r="D19" i="3"/>
  <c r="D21" i="3" s="1"/>
  <c r="D18" i="3"/>
  <c r="B17" i="3"/>
  <c r="B18" i="3" s="1"/>
  <c r="B19" i="3"/>
  <c r="B21" i="3" s="1"/>
  <c r="C17" i="3"/>
  <c r="C18" i="3" s="1"/>
  <c r="C19" i="3"/>
  <c r="C21" i="3" s="1"/>
</calcChain>
</file>

<file path=xl/sharedStrings.xml><?xml version="1.0" encoding="utf-8"?>
<sst xmlns="http://schemas.openxmlformats.org/spreadsheetml/2006/main" count="104" uniqueCount="79">
  <si>
    <t>Feld</t>
  </si>
  <si>
    <t>Wert</t>
  </si>
  <si>
    <t>Einheit</t>
  </si>
  <si>
    <t>Hinweis (Aus letzter Excel/Berichten)</t>
  </si>
  <si>
    <t>Kassenbestand (Start Periode)</t>
  </si>
  <si>
    <t>MEUR</t>
  </si>
  <si>
    <t>Aus Bilanz Aktiva</t>
  </si>
  <si>
    <t>Eigenkapital</t>
  </si>
  <si>
    <t>Aus Bilanz Passiva</t>
  </si>
  <si>
    <t>Gewinnvortrag</t>
  </si>
  <si>
    <t>Maximal mögliche Dividende</t>
  </si>
  <si>
    <t>Steuerlicher Verlustvortrag</t>
  </si>
  <si>
    <t>Vorjahresverlust (vermindert Steuern)</t>
  </si>
  <si>
    <t>Pensionsrückstellungen</t>
  </si>
  <si>
    <t>Passiva</t>
  </si>
  <si>
    <t>Bestehende Kurzfristkredite (Alt)</t>
  </si>
  <si>
    <t>Werden auto-getilgt (fließen zwingend ab!)</t>
  </si>
  <si>
    <t>Bestehende Langfristkredite (Alt)</t>
  </si>
  <si>
    <t>Nur für Plan-Zinsen wichtig</t>
  </si>
  <si>
    <t>Geplante E-Steuer (%)</t>
  </si>
  <si>
    <t>%</t>
  </si>
  <si>
    <t>Im Handbuch S.33 klar auf 45% festgelegt</t>
  </si>
  <si>
    <t>Zinssatz Langfristig (%)</t>
  </si>
  <si>
    <t>Bsp: 7% aus Handbuch S.31 / Per.0</t>
  </si>
  <si>
    <t>Zinssatz Kurzfristig (%)</t>
  </si>
  <si>
    <t>Bsp: 8% aus Berichten / Per.0</t>
  </si>
  <si>
    <t>Zinssatz Überziehen (%)</t>
  </si>
  <si>
    <t>13% Strafzins (Handbuch)</t>
  </si>
  <si>
    <t>Hinweis (Vom Team erfragen)</t>
  </si>
  <si>
    <t>Geplante Absatzmenge</t>
  </si>
  <si>
    <t>Stück</t>
  </si>
  <si>
    <t>Planzahl Vertrieb</t>
  </si>
  <si>
    <t>Geplanter Preis</t>
  </si>
  <si>
    <t>EUR</t>
  </si>
  <si>
    <t>--- KERNAUSGABEN ---</t>
  </si>
  <si>
    <t>Total Herstellkosten</t>
  </si>
  <si>
    <t>inkl. Personal in Fertigung</t>
  </si>
  <si>
    <t>Total Verwaltungskosten</t>
  </si>
  <si>
    <t>Total Marketing/Vertrieb</t>
  </si>
  <si>
    <t>Forschung &amp; Entwicklung (F&amp;E)</t>
  </si>
  <si>
    <t>Ökologie, Technologie, etc.</t>
  </si>
  <si>
    <t>Marktforschung</t>
  </si>
  <si>
    <t>Kosten für Berichte / Analysen</t>
  </si>
  <si>
    <t>--- INVESTITIONEN ---</t>
  </si>
  <si>
    <t>Freiwillige Tilgung Langfristkr.</t>
  </si>
  <si>
    <t>Abschreibungen Alt-Anlagen</t>
  </si>
  <si>
    <t>inklusive 0.25 MEUR fixe Gebäude-AfA</t>
  </si>
  <si>
    <t>Geplante Neuinvestition</t>
  </si>
  <si>
    <t>Totaler Kaufpreis Anlage - Cash Out!</t>
  </si>
  <si>
    <t>Geplante Neu-Abschreibung</t>
  </si>
  <si>
    <t>Z.B. 10% Lineare Abschreibung</t>
  </si>
  <si>
    <t>Veränderung Pensionsrückstellungen</t>
  </si>
  <si>
    <t>Positiv = Cash-plus</t>
  </si>
  <si>
    <t>Geplante Produktionsmenge</t>
  </si>
  <si>
    <t>Für Bestandsveränderung (Fertigung)</t>
  </si>
  <si>
    <t>Szenario A (Defensiv)</t>
  </si>
  <si>
    <t>Szenario B (Aggressiv)</t>
  </si>
  <si>
    <t>Szenario C</t>
  </si>
  <si>
    <t>--- 1: EINGABEN (DEINE CFO ENTSCHEIDUNG) ---</t>
  </si>
  <si>
    <t>NEUER Kurzfristiger Kredit (MEUR)</t>
  </si>
  <si>
    <t>NEUER Langfristiger Kredit (MEUR)</t>
  </si>
  <si>
    <t>Dividende (MEUR)</t>
  </si>
  <si>
    <t>Geplanter Wertpapierkauf</t>
  </si>
  <si>
    <t>--- 2: BERECHNUNG EBIT &amp; GEWINN ---</t>
  </si>
  <si>
    <t>Plan-Umsatz</t>
  </si>
  <si>
    <t>Plan-Bestandsveränderung</t>
  </si>
  <si>
    <t>Plan-EBIT</t>
  </si>
  <si>
    <t>Plan-Zinsaufwand</t>
  </si>
  <si>
    <t>Plan-EBT (Ergebnis vor Steuern)</t>
  </si>
  <si>
    <t>Bemessungsgrundlage Steuer</t>
  </si>
  <si>
    <t>Plan-Steuern</t>
  </si>
  <si>
    <t>Plan-Jahresüberschuss</t>
  </si>
  <si>
    <t>--- 3: TOPSIM ZIELEINGABEN ---</t>
  </si>
  <si>
    <t>Plan-Eigenkapital</t>
  </si>
  <si>
    <t>Plan-EKR (%)</t>
  </si>
  <si>
    <t>Plan-Operativer Cashflow (MEUR)</t>
  </si>
  <si>
    <t>--- 4: TOPSIM FATAL CHECK ---</t>
  </si>
  <si>
    <t>Kassenbestand ENDE (Alarm &lt; 0)</t>
  </si>
  <si>
    <t>HIER NICHTS EINTRAGEN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</si>
</sst>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Standard" xfId="0" builtinId="0"/>
    <cellStyle name="Warnender Text" xfId="1" builtinId="11"/>
  </cellStyles>
  <dxfs count="1">
    <dxf>
      <font>
        <b/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A16" sqref="A16"/>
    </sheetView>
  </sheetViews>
  <sheetFormatPr baseColWidth="10" defaultColWidth="8.7265625" defaultRowHeight="14.5" x14ac:dyDescent="0.35"/>
  <cols>
    <col min="1" max="1" width="45" customWidth="1"/>
    <col min="2" max="3" width="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35">
      <c r="A2" t="s">
        <v>4</v>
      </c>
      <c r="B2">
        <v>28.05</v>
      </c>
      <c r="C2" t="s">
        <v>5</v>
      </c>
      <c r="D2" t="s">
        <v>6</v>
      </c>
    </row>
    <row r="3" spans="1:4" x14ac:dyDescent="0.35">
      <c r="A3" t="s">
        <v>7</v>
      </c>
      <c r="B3">
        <v>35.25</v>
      </c>
      <c r="C3" t="s">
        <v>5</v>
      </c>
      <c r="D3" t="s">
        <v>8</v>
      </c>
    </row>
    <row r="4" spans="1:4" x14ac:dyDescent="0.35">
      <c r="A4" t="s">
        <v>9</v>
      </c>
      <c r="B4">
        <v>5.27</v>
      </c>
      <c r="C4" t="s">
        <v>5</v>
      </c>
      <c r="D4" t="s">
        <v>10</v>
      </c>
    </row>
    <row r="5" spans="1:4" x14ac:dyDescent="0.35">
      <c r="A5" t="s">
        <v>11</v>
      </c>
      <c r="B5">
        <v>0</v>
      </c>
      <c r="C5" t="s">
        <v>5</v>
      </c>
      <c r="D5" t="s">
        <v>12</v>
      </c>
    </row>
    <row r="6" spans="1:4" x14ac:dyDescent="0.35">
      <c r="A6" t="s">
        <v>13</v>
      </c>
      <c r="B6">
        <v>15.95</v>
      </c>
      <c r="C6" t="s">
        <v>5</v>
      </c>
      <c r="D6" t="s">
        <v>14</v>
      </c>
    </row>
    <row r="7" spans="1:4" x14ac:dyDescent="0.35">
      <c r="A7" t="s">
        <v>15</v>
      </c>
      <c r="B7">
        <v>12</v>
      </c>
      <c r="C7" t="s">
        <v>5</v>
      </c>
      <c r="D7" t="s">
        <v>16</v>
      </c>
    </row>
    <row r="8" spans="1:4" x14ac:dyDescent="0.35">
      <c r="A8" t="s">
        <v>17</v>
      </c>
      <c r="B8">
        <v>20</v>
      </c>
      <c r="C8" t="s">
        <v>5</v>
      </c>
      <c r="D8" t="s">
        <v>18</v>
      </c>
    </row>
    <row r="9" spans="1:4" x14ac:dyDescent="0.35">
      <c r="A9" t="s">
        <v>19</v>
      </c>
      <c r="B9">
        <v>0.45</v>
      </c>
      <c r="C9" t="s">
        <v>20</v>
      </c>
      <c r="D9" t="s">
        <v>21</v>
      </c>
    </row>
    <row r="10" spans="1:4" x14ac:dyDescent="0.35">
      <c r="A10" t="s">
        <v>22</v>
      </c>
      <c r="B10">
        <v>7.0000000000000007E-2</v>
      </c>
      <c r="C10" t="s">
        <v>20</v>
      </c>
      <c r="D10" t="s">
        <v>23</v>
      </c>
    </row>
    <row r="11" spans="1:4" x14ac:dyDescent="0.35">
      <c r="A11" t="s">
        <v>24</v>
      </c>
      <c r="B11">
        <v>0.08</v>
      </c>
      <c r="C11" t="s">
        <v>20</v>
      </c>
      <c r="D11" t="s">
        <v>25</v>
      </c>
    </row>
    <row r="12" spans="1:4" x14ac:dyDescent="0.35">
      <c r="A12" t="s">
        <v>26</v>
      </c>
      <c r="B12">
        <v>0.13</v>
      </c>
      <c r="C12" t="s">
        <v>20</v>
      </c>
      <c r="D1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C13" sqref="C13"/>
    </sheetView>
  </sheetViews>
  <sheetFormatPr baseColWidth="10" defaultColWidth="8.7265625" defaultRowHeight="14.5" x14ac:dyDescent="0.35"/>
  <cols>
    <col min="1" max="1" width="45" customWidth="1"/>
    <col min="2" max="3" width="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t="s">
        <v>28</v>
      </c>
    </row>
    <row r="2" spans="1:4" x14ac:dyDescent="0.35">
      <c r="A2" t="s">
        <v>29</v>
      </c>
      <c r="B2">
        <v>45000</v>
      </c>
      <c r="C2" t="s">
        <v>30</v>
      </c>
      <c r="D2" t="s">
        <v>31</v>
      </c>
    </row>
    <row r="3" spans="1:4" x14ac:dyDescent="0.35">
      <c r="A3" t="s">
        <v>32</v>
      </c>
      <c r="B3">
        <v>3000</v>
      </c>
      <c r="C3" t="s">
        <v>33</v>
      </c>
      <c r="D3" t="s">
        <v>31</v>
      </c>
    </row>
    <row r="4" spans="1:4" x14ac:dyDescent="0.35">
      <c r="A4" t="s">
        <v>34</v>
      </c>
    </row>
    <row r="5" spans="1:4" x14ac:dyDescent="0.35">
      <c r="A5" t="s">
        <v>35</v>
      </c>
      <c r="B5">
        <v>90</v>
      </c>
      <c r="C5" t="s">
        <v>5</v>
      </c>
      <c r="D5" t="s">
        <v>36</v>
      </c>
    </row>
    <row r="6" spans="1:4" x14ac:dyDescent="0.35">
      <c r="A6" t="s">
        <v>37</v>
      </c>
      <c r="B6">
        <v>10</v>
      </c>
      <c r="C6" t="s">
        <v>5</v>
      </c>
    </row>
    <row r="7" spans="1:4" x14ac:dyDescent="0.35">
      <c r="A7" t="s">
        <v>38</v>
      </c>
      <c r="B7">
        <v>15</v>
      </c>
      <c r="C7" t="s">
        <v>5</v>
      </c>
    </row>
    <row r="8" spans="1:4" x14ac:dyDescent="0.35">
      <c r="A8" t="s">
        <v>39</v>
      </c>
      <c r="B8">
        <v>2.5</v>
      </c>
      <c r="C8" t="s">
        <v>5</v>
      </c>
      <c r="D8" t="s">
        <v>40</v>
      </c>
    </row>
    <row r="9" spans="1:4" x14ac:dyDescent="0.35">
      <c r="A9" t="s">
        <v>41</v>
      </c>
      <c r="B9">
        <v>0.15</v>
      </c>
      <c r="C9" t="s">
        <v>5</v>
      </c>
      <c r="D9" t="s">
        <v>42</v>
      </c>
    </row>
    <row r="10" spans="1:4" x14ac:dyDescent="0.35">
      <c r="A10" t="s">
        <v>43</v>
      </c>
    </row>
    <row r="11" spans="1:4" s="2" customFormat="1" x14ac:dyDescent="0.35">
      <c r="A11" s="2" t="s">
        <v>44</v>
      </c>
      <c r="B11" s="2">
        <v>0</v>
      </c>
      <c r="C11" s="2" t="s">
        <v>5</v>
      </c>
      <c r="D11" s="2" t="s">
        <v>78</v>
      </c>
    </row>
    <row r="12" spans="1:4" x14ac:dyDescent="0.35">
      <c r="A12" t="s">
        <v>45</v>
      </c>
      <c r="B12">
        <v>6</v>
      </c>
      <c r="C12" t="s">
        <v>5</v>
      </c>
      <c r="D12" t="s">
        <v>46</v>
      </c>
    </row>
    <row r="13" spans="1:4" x14ac:dyDescent="0.35">
      <c r="A13" t="s">
        <v>47</v>
      </c>
      <c r="B13">
        <v>15</v>
      </c>
      <c r="C13" t="s">
        <v>5</v>
      </c>
      <c r="D13" t="s">
        <v>48</v>
      </c>
    </row>
    <row r="14" spans="1:4" x14ac:dyDescent="0.35">
      <c r="A14" t="s">
        <v>49</v>
      </c>
      <c r="B14">
        <v>1.5</v>
      </c>
      <c r="C14" t="s">
        <v>5</v>
      </c>
      <c r="D14" t="s">
        <v>50</v>
      </c>
    </row>
    <row r="15" spans="1:4" x14ac:dyDescent="0.35">
      <c r="A15" t="s">
        <v>51</v>
      </c>
      <c r="B15">
        <v>2</v>
      </c>
      <c r="C15" t="s">
        <v>5</v>
      </c>
      <c r="D15" t="s">
        <v>52</v>
      </c>
    </row>
    <row r="16" spans="1:4" x14ac:dyDescent="0.35">
      <c r="A16" t="s">
        <v>53</v>
      </c>
      <c r="B16">
        <v>45000</v>
      </c>
      <c r="C16" t="s">
        <v>30</v>
      </c>
      <c r="D16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baseColWidth="10" defaultColWidth="8.7265625" defaultRowHeight="14.5" x14ac:dyDescent="0.35"/>
  <cols>
    <col min="1" max="1" width="45" customWidth="1"/>
    <col min="2" max="3" width="25" customWidth="1"/>
  </cols>
  <sheetData>
    <row r="1" spans="1:4" x14ac:dyDescent="0.35">
      <c r="A1" s="1" t="s">
        <v>0</v>
      </c>
      <c r="B1" s="1" t="s">
        <v>55</v>
      </c>
      <c r="C1" s="1" t="s">
        <v>56</v>
      </c>
      <c r="D1" t="s">
        <v>57</v>
      </c>
    </row>
    <row r="2" spans="1:4" x14ac:dyDescent="0.35">
      <c r="A2" s="1" t="s">
        <v>58</v>
      </c>
    </row>
    <row r="3" spans="1:4" x14ac:dyDescent="0.35">
      <c r="A3" t="s">
        <v>59</v>
      </c>
      <c r="B3">
        <v>15</v>
      </c>
      <c r="C3">
        <v>20</v>
      </c>
      <c r="D3">
        <v>10</v>
      </c>
    </row>
    <row r="4" spans="1:4" x14ac:dyDescent="0.35">
      <c r="A4" t="s">
        <v>60</v>
      </c>
      <c r="B4">
        <v>0</v>
      </c>
      <c r="C4">
        <v>10</v>
      </c>
      <c r="D4">
        <v>0</v>
      </c>
    </row>
    <row r="5" spans="1:4" x14ac:dyDescent="0.35">
      <c r="A5" t="s">
        <v>61</v>
      </c>
      <c r="B5">
        <v>1</v>
      </c>
      <c r="C5">
        <v>0</v>
      </c>
      <c r="D5">
        <v>2</v>
      </c>
    </row>
    <row r="6" spans="1:4" x14ac:dyDescent="0.35">
      <c r="A6" t="s">
        <v>62</v>
      </c>
      <c r="B6">
        <v>0</v>
      </c>
      <c r="C6">
        <v>0</v>
      </c>
      <c r="D6">
        <v>0</v>
      </c>
    </row>
    <row r="7" spans="1:4" x14ac:dyDescent="0.35">
      <c r="A7" s="1" t="s">
        <v>63</v>
      </c>
    </row>
    <row r="8" spans="1:4" x14ac:dyDescent="0.35">
      <c r="A8" t="s">
        <v>64</v>
      </c>
      <c r="B8">
        <f>'2_Team_Inputs'!B2*'2_Team_Inputs'!B3/1000000</f>
        <v>135</v>
      </c>
      <c r="C8">
        <f>'2_Team_Inputs'!B2*'2_Team_Inputs'!B3/1000000</f>
        <v>135</v>
      </c>
      <c r="D8">
        <f>'2_Team_Inputs'!B2*'2_Team_Inputs'!B3/1000000</f>
        <v>135</v>
      </c>
    </row>
    <row r="9" spans="1:4" x14ac:dyDescent="0.35">
      <c r="A9" t="s">
        <v>65</v>
      </c>
      <c r="B9">
        <f>IF('2_Team_Inputs'!B16&gt;0, ('2_Team_Inputs'!B16-'2_Team_Inputs'!B2)*('2_Team_Inputs'!B5/'2_Team_Inputs'!B16), 0)</f>
        <v>0</v>
      </c>
      <c r="C9">
        <f>IF('2_Team_Inputs'!B16&gt;0, ('2_Team_Inputs'!B16-'2_Team_Inputs'!B2)*('2_Team_Inputs'!B5/'2_Team_Inputs'!B16), 0)</f>
        <v>0</v>
      </c>
      <c r="D9">
        <f>IF('2_Team_Inputs'!B16&gt;0, ('2_Team_Inputs'!B16-'2_Team_Inputs'!B2)*('2_Team_Inputs'!B5/'2_Team_Inputs'!B16), 0)</f>
        <v>0</v>
      </c>
    </row>
    <row r="10" spans="1:4" x14ac:dyDescent="0.35">
      <c r="A10" t="s">
        <v>66</v>
      </c>
      <c r="B10">
        <f>B8+B9-SUM('2_Team_Inputs'!B5:B9)-'2_Team_Inputs'!B12-'2_Team_Inputs'!B14</f>
        <v>9.8499999999999943</v>
      </c>
      <c r="C10">
        <f>C8+C9-SUM('2_Team_Inputs'!B5:B9)-'2_Team_Inputs'!B12-'2_Team_Inputs'!B14</f>
        <v>9.8499999999999943</v>
      </c>
      <c r="D10">
        <f>D8+D9-SUM('2_Team_Inputs'!B5:B9)-'2_Team_Inputs'!B12-'2_Team_Inputs'!B14</f>
        <v>9.8499999999999943</v>
      </c>
    </row>
    <row r="11" spans="1:4" x14ac:dyDescent="0.35">
      <c r="A11" t="s">
        <v>67</v>
      </c>
      <c r="B11">
        <f>((B3+'1_Ist_Daten'!B7)*'1_Ist_Daten'!B11)+((B4+'1_Ist_Daten'!B8-'2_Team_Inputs'!B11)*'1_Ist_Daten'!B10)</f>
        <v>3.5600000000000005</v>
      </c>
      <c r="C11">
        <f>((C3+'1_Ist_Daten'!B7)*'1_Ist_Daten'!B11)+((C4+'1_Ist_Daten'!B8-'2_Team_Inputs'!B11)*'1_Ist_Daten'!B10)</f>
        <v>4.66</v>
      </c>
      <c r="D11">
        <f>((D3+'1_Ist_Daten'!B7)*'1_Ist_Daten'!B11)+((D4+'1_Ist_Daten'!B8-'2_Team_Inputs'!B11)*'1_Ist_Daten'!B10)</f>
        <v>3.16</v>
      </c>
    </row>
    <row r="12" spans="1:4" x14ac:dyDescent="0.35">
      <c r="A12" t="s">
        <v>68</v>
      </c>
      <c r="B12">
        <f>B10-B11</f>
        <v>6.2899999999999938</v>
      </c>
      <c r="C12">
        <f>C10-C11</f>
        <v>5.1899999999999942</v>
      </c>
      <c r="D12">
        <f>D10-D11</f>
        <v>6.6899999999999942</v>
      </c>
    </row>
    <row r="13" spans="1:4" x14ac:dyDescent="0.35">
      <c r="A13" t="s">
        <v>69</v>
      </c>
      <c r="B13">
        <f>MAX(0, B12-'1_Ist_Daten'!B5)</f>
        <v>6.2899999999999938</v>
      </c>
      <c r="C13">
        <f>MAX(0, C12-'1_Ist_Daten'!B5)</f>
        <v>5.1899999999999942</v>
      </c>
      <c r="D13">
        <f>MAX(0, D12-'1_Ist_Daten'!B5)</f>
        <v>6.6899999999999942</v>
      </c>
    </row>
    <row r="14" spans="1:4" x14ac:dyDescent="0.35">
      <c r="A14" t="s">
        <v>70</v>
      </c>
      <c r="B14">
        <f>B13*'1_Ist_Daten'!B9</f>
        <v>2.8304999999999971</v>
      </c>
      <c r="C14">
        <f>C13*'1_Ist_Daten'!B9</f>
        <v>2.3354999999999975</v>
      </c>
      <c r="D14">
        <f>D13*'1_Ist_Daten'!B9</f>
        <v>3.0104999999999973</v>
      </c>
    </row>
    <row r="15" spans="1:4" x14ac:dyDescent="0.35">
      <c r="A15" t="s">
        <v>71</v>
      </c>
      <c r="B15">
        <f>B12-B14</f>
        <v>3.4594999999999967</v>
      </c>
      <c r="C15">
        <f>C12-C14</f>
        <v>2.8544999999999967</v>
      </c>
      <c r="D15">
        <f>D12-D14</f>
        <v>3.6794999999999969</v>
      </c>
    </row>
    <row r="16" spans="1:4" x14ac:dyDescent="0.35">
      <c r="A16" s="1" t="s">
        <v>72</v>
      </c>
    </row>
    <row r="17" spans="1:4" x14ac:dyDescent="0.35">
      <c r="A17" t="s">
        <v>73</v>
      </c>
      <c r="B17">
        <f>'1_Ist_Daten'!B3+B15-B5</f>
        <v>37.709499999999998</v>
      </c>
      <c r="C17">
        <f>'1_Ist_Daten'!B3+C15-C5</f>
        <v>38.104499999999994</v>
      </c>
      <c r="D17">
        <f>'1_Ist_Daten'!B3+D15-D5</f>
        <v>36.929499999999997</v>
      </c>
    </row>
    <row r="18" spans="1:4" x14ac:dyDescent="0.35">
      <c r="A18" t="s">
        <v>74</v>
      </c>
      <c r="B18">
        <f>(B15/B17)*100</f>
        <v>9.1740808019199314</v>
      </c>
      <c r="C18">
        <f>(C15/C17)*100</f>
        <v>7.4912411919851918</v>
      </c>
      <c r="D18">
        <f>(D15/D17)*100</f>
        <v>9.9635792523592173</v>
      </c>
    </row>
    <row r="19" spans="1:4" x14ac:dyDescent="0.35">
      <c r="A19" t="s">
        <v>75</v>
      </c>
      <c r="B19">
        <f>B15+'2_Team_Inputs'!B12+'2_Team_Inputs'!B14+'2_Team_Inputs'!B15</f>
        <v>12.959499999999997</v>
      </c>
      <c r="C19">
        <f>C15+'2_Team_Inputs'!B12+'2_Team_Inputs'!B14+'2_Team_Inputs'!B15</f>
        <v>12.354499999999996</v>
      </c>
      <c r="D19">
        <f>D15+'2_Team_Inputs'!B12+'2_Team_Inputs'!B14+'2_Team_Inputs'!B15</f>
        <v>13.179499999999997</v>
      </c>
    </row>
    <row r="20" spans="1:4" x14ac:dyDescent="0.35">
      <c r="A20" s="1" t="s">
        <v>76</v>
      </c>
    </row>
    <row r="21" spans="1:4" x14ac:dyDescent="0.35">
      <c r="A21" t="s">
        <v>77</v>
      </c>
      <c r="B21">
        <f>'1_Ist_Daten'!B2+B19+B3+B4-B5-'2_Team_Inputs'!B13-'1_Ist_Daten'!B7-'2_Team_Inputs'!B11-B6</f>
        <v>28.009499999999996</v>
      </c>
      <c r="C21">
        <f>'1_Ist_Daten'!B2+C19+C3+C4-C5-'2_Team_Inputs'!B13-'1_Ist_Daten'!B7-'2_Team_Inputs'!B11-C6</f>
        <v>43.404499999999999</v>
      </c>
      <c r="D21">
        <f>'1_Ist_Daten'!B2+D19+D3+D4-D5-'2_Team_Inputs'!B13-'1_Ist_Daten'!B7-'2_Team_Inputs'!B11-D6</f>
        <v>22.229500000000002</v>
      </c>
    </row>
  </sheetData>
  <conditionalFormatting sqref="B21:D21">
    <cfRule type="cellIs" dxfId="0" priority="1" stopIfTrue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1_Ist_Daten</vt:lpstr>
      <vt:lpstr>2_Team_Inputs</vt:lpstr>
      <vt:lpstr>3_Szenario_Rechner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Kempe</cp:lastModifiedBy>
  <dcterms:created xsi:type="dcterms:W3CDTF">2026-04-02T09:15:17Z</dcterms:created>
  <dcterms:modified xsi:type="dcterms:W3CDTF">2026-04-02T09:33:12Z</dcterms:modified>
</cp:coreProperties>
</file>