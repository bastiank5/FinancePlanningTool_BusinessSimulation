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stian\Downloads\"/>
    </mc:Choice>
  </mc:AlternateContent>
  <xr:revisionPtr revIDLastSave="0" documentId="13_ncr:1_{9452973F-3729-4A51-AB1F-E5718C3FBC32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TOPSIM Plan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B51" i="1"/>
  <c r="C47" i="1"/>
  <c r="B47" i="1"/>
  <c r="C44" i="1"/>
  <c r="B44" i="1"/>
  <c r="C33" i="1"/>
  <c r="B33" i="1"/>
  <c r="C17" i="1"/>
  <c r="B17" i="1"/>
  <c r="C5" i="1"/>
  <c r="C43" i="1" s="1"/>
  <c r="B5" i="1"/>
  <c r="B43" i="1" s="1"/>
  <c r="B12" i="1" l="1"/>
  <c r="B18" i="1" s="1"/>
  <c r="C12" i="1"/>
  <c r="C18" i="1" s="1"/>
  <c r="C20" i="1" l="1"/>
  <c r="C22" i="1" s="1"/>
  <c r="C46" i="1" s="1"/>
  <c r="C53" i="1" s="1"/>
  <c r="C54" i="1" s="1"/>
  <c r="B20" i="1"/>
  <c r="B22" i="1" s="1"/>
  <c r="B46" i="1" s="1"/>
  <c r="B53" i="1" s="1"/>
  <c r="B54" i="1" s="1"/>
  <c r="B23" i="1" l="1"/>
  <c r="C23" i="1"/>
  <c r="C28" i="1" l="1"/>
  <c r="C29" i="1" s="1"/>
  <c r="C32" i="1"/>
  <c r="C35" i="1" s="1"/>
  <c r="C38" i="1" s="1"/>
  <c r="B28" i="1"/>
  <c r="B29" i="1" s="1"/>
  <c r="B32" i="1"/>
  <c r="B35" i="1" s="1"/>
  <c r="B38" i="1" s="1"/>
</calcChain>
</file>

<file path=xl/sharedStrings.xml><?xml version="1.0" encoding="utf-8"?>
<sst xmlns="http://schemas.openxmlformats.org/spreadsheetml/2006/main" count="51" uniqueCount="51">
  <si>
    <t>Position</t>
  </si>
  <si>
    <t>Szenario 1 (Planung)</t>
  </si>
  <si>
    <t>Szenario 2 (Alternativ)</t>
  </si>
  <si>
    <t>1. PLAN-GEWINN- UND VERLUSTRECHNUNG</t>
  </si>
  <si>
    <t>Geplante Absatzmenge (Stück)</t>
  </si>
  <si>
    <t>Geplanter Preis (EUR/Stück)</t>
  </si>
  <si>
    <t>Umsatzerlöse (MEUR)</t>
  </si>
  <si>
    <t>Geplante Herstellkosten (MEUR)</t>
  </si>
  <si>
    <t>Geplante Personal- &amp; Verwaltungskosten (MEUR)</t>
  </si>
  <si>
    <t>Geplante Marketing- &amp; Vertriebskosten (MEUR)</t>
  </si>
  <si>
    <t>Abschreibungen Anlagen Alt (MEUR)</t>
  </si>
  <si>
    <t>Abschreibungen Gebäude (MEUR)</t>
  </si>
  <si>
    <t>Abschreibungen Anlage Neu (MEUR)</t>
  </si>
  <si>
    <t>PLAN-EBIT (MEUR)</t>
  </si>
  <si>
    <t>Zinssatz Langfristig (ZL) in %</t>
  </si>
  <si>
    <t>Zinssatz Kurzfristig (ZK) in %</t>
  </si>
  <si>
    <t>Langfristige Kredite Bestand (Alt + Neu) (MEUR)</t>
  </si>
  <si>
    <t>Kurzfristige Kredite Bestand (MEUR)</t>
  </si>
  <si>
    <t>Plan-Zinsaufwand (MEUR)</t>
  </si>
  <si>
    <t>PLAN-EBT (Ergebnis vor Steuern) (MEUR)</t>
  </si>
  <si>
    <t>Verlustvortrag aus Vorperioden (MEUR)</t>
  </si>
  <si>
    <t>Steuerpflichtiges Ergebnis (MEUR)</t>
  </si>
  <si>
    <t>Steuersatz in %</t>
  </si>
  <si>
    <t>Geplante Ertragssteuern (MEUR)</t>
  </si>
  <si>
    <t>PLAN-JAHRESÜBERSCHUSS (P-JÜ) (MEUR)</t>
  </si>
  <si>
    <t>2. PLAN-EIGENKAPITAL &amp; EKR</t>
  </si>
  <si>
    <t>Eigenkapital Vorperiode (MEUR)</t>
  </si>
  <si>
    <t>Beschlossene Dividende (MEUR)</t>
  </si>
  <si>
    <t>Plan-Eigenkapital Ende Periode (MEUR)</t>
  </si>
  <si>
    <t>GEPLANTE EIGENKAPITALRENDITE (EKR) in %</t>
  </si>
  <si>
    <t>3. OPERATIVER CASHFLOW</t>
  </si>
  <si>
    <t>Plan-Jahresüberschuss (MEUR)</t>
  </si>
  <si>
    <t>Zuzüglich Gesamtabschreibungen (MEUR)</t>
  </si>
  <si>
    <t>Veränderung langfr. Rückstellungen (MEUR)</t>
  </si>
  <si>
    <t>Traditioneller Cashflow (MEUR)</t>
  </si>
  <si>
    <t>Veränderung Forderungen (Working Capital) (MEUR)</t>
  </si>
  <si>
    <t>Veränderung Vorräte (Working Capital) (MEUR)</t>
  </si>
  <si>
    <t>GEPLANTER OPERATIVER CASHFLOW (MEUR)</t>
  </si>
  <si>
    <t>4. LIQUIDITÄTSPLANUNG (KASSENBESTAND)</t>
  </si>
  <si>
    <t>Kassenbestand Anfang (MEUR)</t>
  </si>
  <si>
    <t>Einzahlungen aus Vorperiode (MEUR)</t>
  </si>
  <si>
    <t>Einzahlungen lfd. Periode (80% Umsatz) (MEUR)</t>
  </si>
  <si>
    <t>Auszahlungen für Betrieb (exkl. Abschr.) (MEUR)</t>
  </si>
  <si>
    <t>Auszahlungen für Investitionen (MEUR)</t>
  </si>
  <si>
    <t>Auszahlungen für Steuern &amp; Zinsen (MEUR)</t>
  </si>
  <si>
    <t>Auszahlungen für Dividende (MEUR)</t>
  </si>
  <si>
    <t>Kreditbestand Vorperiode (Kurzfristig) (MEUR)</t>
  </si>
  <si>
    <t>Kreditbestand Vorperiode (Langfristig) (MEUR)</t>
  </si>
  <si>
    <t>Cashflow aus Krediten (Neuaufnahme - Tilgung) (MEUR)</t>
  </si>
  <si>
    <t>GEPLANTER KASSENBESTAND ENDE (MEUR)</t>
  </si>
  <si>
    <t>Mindest-Liquidität (Warnung)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</si>
</sst>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5" fillId="4" borderId="0" xfId="2"/>
    <xf numFmtId="0" fontId="4" fillId="3" borderId="0" xfId="1"/>
    <xf numFmtId="0" fontId="3" fillId="5" borderId="0" xfId="3"/>
    <xf numFmtId="0" fontId="6" fillId="0" borderId="0" xfId="0" applyFont="1"/>
  </cellXfs>
  <cellStyles count="4">
    <cellStyle name="40 % - Akzent1" xfId="3" builtinId="31"/>
    <cellStyle name="Gut" xfId="1" builtinId="26"/>
    <cellStyle name="Neutral" xfId="2" builtinId="2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zoomScale="145" zoomScaleNormal="145" workbookViewId="0">
      <selection activeCell="A42" sqref="A42"/>
    </sheetView>
  </sheetViews>
  <sheetFormatPr baseColWidth="10" defaultColWidth="8.88671875" defaultRowHeight="14.4" x14ac:dyDescent="0.3"/>
  <cols>
    <col min="1" max="1" width="60" customWidth="1"/>
    <col min="2" max="3" width="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/>
      <c r="C2" s="2"/>
    </row>
    <row r="3" spans="1:3" x14ac:dyDescent="0.3">
      <c r="A3" s="4" t="s">
        <v>4</v>
      </c>
      <c r="B3" s="4">
        <v>45000</v>
      </c>
      <c r="C3" s="4">
        <v>45000</v>
      </c>
    </row>
    <row r="4" spans="1:3" x14ac:dyDescent="0.3">
      <c r="A4" s="4" t="s">
        <v>5</v>
      </c>
      <c r="B4" s="4">
        <v>3200</v>
      </c>
      <c r="C4" s="4">
        <v>3200</v>
      </c>
    </row>
    <row r="5" spans="1:3" x14ac:dyDescent="0.3">
      <c r="A5" s="5" t="s">
        <v>6</v>
      </c>
      <c r="B5" s="5">
        <f>B3*B4/1000000</f>
        <v>144</v>
      </c>
      <c r="C5" s="5">
        <f>C3*C4/1000000</f>
        <v>144</v>
      </c>
    </row>
    <row r="6" spans="1:3" x14ac:dyDescent="0.3">
      <c r="A6" s="4" t="s">
        <v>7</v>
      </c>
      <c r="B6" s="4">
        <v>-95</v>
      </c>
      <c r="C6" s="4">
        <v>-95</v>
      </c>
    </row>
    <row r="7" spans="1:3" x14ac:dyDescent="0.3">
      <c r="A7" s="4" t="s">
        <v>8</v>
      </c>
      <c r="B7" s="4">
        <v>-30</v>
      </c>
      <c r="C7" s="4">
        <v>-30</v>
      </c>
    </row>
    <row r="8" spans="1:3" x14ac:dyDescent="0.3">
      <c r="A8" s="4" t="s">
        <v>9</v>
      </c>
      <c r="B8" s="4">
        <v>-20</v>
      </c>
      <c r="C8" s="4">
        <v>-20</v>
      </c>
    </row>
    <row r="9" spans="1:3" x14ac:dyDescent="0.3">
      <c r="A9" s="4" t="s">
        <v>10</v>
      </c>
      <c r="B9" s="4">
        <v>-6.75</v>
      </c>
      <c r="C9" s="4">
        <v>-6.75</v>
      </c>
    </row>
    <row r="10" spans="1:3" x14ac:dyDescent="0.3">
      <c r="A10" s="3" t="s">
        <v>11</v>
      </c>
      <c r="B10" s="3">
        <v>-0.25</v>
      </c>
      <c r="C10" s="3">
        <v>-0.25</v>
      </c>
    </row>
    <row r="11" spans="1:3" x14ac:dyDescent="0.3">
      <c r="A11" s="4" t="s">
        <v>12</v>
      </c>
      <c r="B11" s="4">
        <v>-2.5</v>
      </c>
      <c r="C11" s="4">
        <v>-2.5</v>
      </c>
    </row>
    <row r="12" spans="1:3" x14ac:dyDescent="0.3">
      <c r="A12" s="5" t="s">
        <v>13</v>
      </c>
      <c r="B12" s="5">
        <f>SUM(B5:B11)</f>
        <v>-10.5</v>
      </c>
      <c r="C12" s="5">
        <f>SUM(C5:C11)</f>
        <v>-10.5</v>
      </c>
    </row>
    <row r="13" spans="1:3" x14ac:dyDescent="0.3">
      <c r="A13" s="3" t="s">
        <v>14</v>
      </c>
      <c r="B13" s="3">
        <v>7</v>
      </c>
      <c r="C13" s="3">
        <v>7</v>
      </c>
    </row>
    <row r="14" spans="1:3" x14ac:dyDescent="0.3">
      <c r="A14" s="3" t="s">
        <v>15</v>
      </c>
      <c r="B14" s="3">
        <v>8</v>
      </c>
      <c r="C14" s="3">
        <v>8</v>
      </c>
    </row>
    <row r="15" spans="1:3" x14ac:dyDescent="0.3">
      <c r="A15" s="4" t="s">
        <v>16</v>
      </c>
      <c r="B15" s="4">
        <v>20</v>
      </c>
      <c r="C15" s="4">
        <v>25.5</v>
      </c>
    </row>
    <row r="16" spans="1:3" x14ac:dyDescent="0.3">
      <c r="A16" s="4" t="s">
        <v>17</v>
      </c>
      <c r="B16" s="4">
        <v>25</v>
      </c>
      <c r="C16" s="4">
        <v>15</v>
      </c>
    </row>
    <row r="17" spans="1:3" x14ac:dyDescent="0.3">
      <c r="A17" s="5" t="s">
        <v>18</v>
      </c>
      <c r="B17" s="5">
        <f>-(B15*(B13/100) + B16*(B14/100))</f>
        <v>-3.4000000000000004</v>
      </c>
      <c r="C17" s="5">
        <f>-(C15*(C13/100) + C16*(C14/100))</f>
        <v>-2.9850000000000003</v>
      </c>
    </row>
    <row r="18" spans="1:3" x14ac:dyDescent="0.3">
      <c r="A18" s="5" t="s">
        <v>19</v>
      </c>
      <c r="B18" s="5">
        <f>B12+B17</f>
        <v>-13.9</v>
      </c>
      <c r="C18" s="5">
        <f>C12+C17</f>
        <v>-13.484999999999999</v>
      </c>
    </row>
    <row r="19" spans="1:3" x14ac:dyDescent="0.3">
      <c r="A19" s="4" t="s">
        <v>20</v>
      </c>
      <c r="B19" s="4">
        <v>0</v>
      </c>
      <c r="C19" s="4">
        <v>0</v>
      </c>
    </row>
    <row r="20" spans="1:3" x14ac:dyDescent="0.3">
      <c r="A20" s="5" t="s">
        <v>21</v>
      </c>
      <c r="B20" s="5">
        <f>MAX(0, B18-B19)</f>
        <v>0</v>
      </c>
      <c r="C20" s="5">
        <f>MAX(0, C18-C19)</f>
        <v>0</v>
      </c>
    </row>
    <row r="21" spans="1:3" x14ac:dyDescent="0.3">
      <c r="A21" s="3" t="s">
        <v>22</v>
      </c>
      <c r="B21" s="3">
        <v>45</v>
      </c>
      <c r="C21" s="3">
        <v>45</v>
      </c>
    </row>
    <row r="22" spans="1:3" x14ac:dyDescent="0.3">
      <c r="A22" s="5" t="s">
        <v>23</v>
      </c>
      <c r="B22" s="5">
        <f>-B20*(B21/100)</f>
        <v>0</v>
      </c>
      <c r="C22" s="5">
        <f>-C20*(C21/100)</f>
        <v>0</v>
      </c>
    </row>
    <row r="23" spans="1:3" x14ac:dyDescent="0.3">
      <c r="A23" s="5" t="s">
        <v>24</v>
      </c>
      <c r="B23" s="5">
        <f>B18+B22</f>
        <v>-13.9</v>
      </c>
      <c r="C23" s="5">
        <f>C18+C22</f>
        <v>-13.484999999999999</v>
      </c>
    </row>
    <row r="25" spans="1:3" x14ac:dyDescent="0.3">
      <c r="A25" s="2" t="s">
        <v>25</v>
      </c>
      <c r="B25" s="2"/>
      <c r="C25" s="2"/>
    </row>
    <row r="26" spans="1:3" x14ac:dyDescent="0.3">
      <c r="A26" s="4" t="s">
        <v>26</v>
      </c>
      <c r="B26" s="4">
        <v>43.02</v>
      </c>
      <c r="C26" s="4">
        <v>43.02</v>
      </c>
    </row>
    <row r="27" spans="1:3" x14ac:dyDescent="0.3">
      <c r="A27" s="4" t="s">
        <v>27</v>
      </c>
      <c r="B27" s="4">
        <v>-1</v>
      </c>
      <c r="C27" s="4">
        <v>-1</v>
      </c>
    </row>
    <row r="28" spans="1:3" x14ac:dyDescent="0.3">
      <c r="A28" s="5" t="s">
        <v>28</v>
      </c>
      <c r="B28" s="5">
        <f>B26+B27+B23</f>
        <v>28.120000000000005</v>
      </c>
      <c r="C28" s="5">
        <f>C26+C27+C23</f>
        <v>28.535000000000004</v>
      </c>
    </row>
    <row r="29" spans="1:3" x14ac:dyDescent="0.3">
      <c r="A29" s="5" t="s">
        <v>29</v>
      </c>
      <c r="B29" s="5">
        <f>(B23/B28)*100</f>
        <v>-49.431009957325742</v>
      </c>
      <c r="C29" s="5">
        <f>(C23/C28)*100</f>
        <v>-47.257753635885749</v>
      </c>
    </row>
    <row r="31" spans="1:3" x14ac:dyDescent="0.3">
      <c r="A31" s="6" t="s">
        <v>30</v>
      </c>
    </row>
    <row r="32" spans="1:3" x14ac:dyDescent="0.3">
      <c r="A32" s="5" t="s">
        <v>31</v>
      </c>
      <c r="B32" s="5">
        <f>B23</f>
        <v>-13.9</v>
      </c>
      <c r="C32" s="5">
        <f>C23</f>
        <v>-13.484999999999999</v>
      </c>
    </row>
    <row r="33" spans="1:3" x14ac:dyDescent="0.3">
      <c r="A33" s="5" t="s">
        <v>32</v>
      </c>
      <c r="B33" s="5">
        <f>-(B9+B10+B11)</f>
        <v>9.5</v>
      </c>
      <c r="C33" s="5">
        <f>-(C9+C10+C11)</f>
        <v>9.5</v>
      </c>
    </row>
    <row r="34" spans="1:3" x14ac:dyDescent="0.3">
      <c r="A34" s="4" t="s">
        <v>33</v>
      </c>
      <c r="B34" s="4">
        <v>2</v>
      </c>
      <c r="C34" s="4">
        <v>2</v>
      </c>
    </row>
    <row r="35" spans="1:3" x14ac:dyDescent="0.3">
      <c r="A35" s="5" t="s">
        <v>34</v>
      </c>
      <c r="B35" s="5">
        <f>B32+B33+B34</f>
        <v>-2.4000000000000004</v>
      </c>
      <c r="C35" s="5">
        <f>C32+C33+C34</f>
        <v>-1.9849999999999994</v>
      </c>
    </row>
    <row r="36" spans="1:3" x14ac:dyDescent="0.3">
      <c r="A36" s="4" t="s">
        <v>35</v>
      </c>
      <c r="B36" s="4">
        <v>-3</v>
      </c>
      <c r="C36" s="4">
        <v>-3</v>
      </c>
    </row>
    <row r="37" spans="1:3" x14ac:dyDescent="0.3">
      <c r="A37" s="4" t="s">
        <v>36</v>
      </c>
      <c r="B37" s="4">
        <v>1</v>
      </c>
      <c r="C37" s="4">
        <v>1</v>
      </c>
    </row>
    <row r="38" spans="1:3" x14ac:dyDescent="0.3">
      <c r="A38" s="5" t="s">
        <v>37</v>
      </c>
      <c r="B38" s="5">
        <f>B35+B36+B37</f>
        <v>-4.4000000000000004</v>
      </c>
      <c r="C38" s="5">
        <f>C35+C36+C37</f>
        <v>-3.9849999999999994</v>
      </c>
    </row>
    <row r="40" spans="1:3" x14ac:dyDescent="0.3">
      <c r="A40" s="2" t="s">
        <v>38</v>
      </c>
      <c r="B40" s="2"/>
      <c r="C40" s="2"/>
    </row>
    <row r="41" spans="1:3" x14ac:dyDescent="0.3">
      <c r="A41" s="4" t="s">
        <v>39</v>
      </c>
      <c r="B41" s="4">
        <v>11.26</v>
      </c>
      <c r="C41" s="4">
        <v>11.26</v>
      </c>
    </row>
    <row r="42" spans="1:3" x14ac:dyDescent="0.3">
      <c r="A42" s="4" t="s">
        <v>40</v>
      </c>
      <c r="B42" s="4">
        <v>25.8</v>
      </c>
      <c r="C42" s="4">
        <v>25.8</v>
      </c>
    </row>
    <row r="43" spans="1:3" x14ac:dyDescent="0.3">
      <c r="A43" s="5" t="s">
        <v>41</v>
      </c>
      <c r="B43" s="5">
        <f>B5*0.8</f>
        <v>115.2</v>
      </c>
      <c r="C43" s="5">
        <f>C5*0.8</f>
        <v>115.2</v>
      </c>
    </row>
    <row r="44" spans="1:3" x14ac:dyDescent="0.3">
      <c r="A44" s="5" t="s">
        <v>42</v>
      </c>
      <c r="B44" s="5">
        <f>B6+B7+B8</f>
        <v>-145</v>
      </c>
      <c r="C44" s="5">
        <f>C6+C7+C8</f>
        <v>-145</v>
      </c>
    </row>
    <row r="45" spans="1:3" x14ac:dyDescent="0.3">
      <c r="A45" s="4" t="s">
        <v>43</v>
      </c>
      <c r="B45" s="4">
        <v>-22.5</v>
      </c>
      <c r="C45" s="4">
        <v>-22.5</v>
      </c>
    </row>
    <row r="46" spans="1:3" x14ac:dyDescent="0.3">
      <c r="A46" s="5" t="s">
        <v>44</v>
      </c>
      <c r="B46" s="5">
        <f>B17+B22</f>
        <v>-3.4000000000000004</v>
      </c>
      <c r="C46" s="5">
        <f>C17+C22</f>
        <v>-2.9850000000000003</v>
      </c>
    </row>
    <row r="47" spans="1:3" x14ac:dyDescent="0.3">
      <c r="A47" s="5" t="s">
        <v>45</v>
      </c>
      <c r="B47" s="5">
        <f>B27</f>
        <v>-1</v>
      </c>
      <c r="C47" s="5">
        <f>C27</f>
        <v>-1</v>
      </c>
    </row>
    <row r="49" spans="1:3" x14ac:dyDescent="0.3">
      <c r="A49" s="4" t="s">
        <v>46</v>
      </c>
      <c r="B49" s="4">
        <v>20</v>
      </c>
      <c r="C49" s="4">
        <v>0</v>
      </c>
    </row>
    <row r="50" spans="1:3" x14ac:dyDescent="0.3">
      <c r="A50" s="4" t="s">
        <v>47</v>
      </c>
      <c r="B50" s="4">
        <v>10</v>
      </c>
      <c r="C50" s="4">
        <v>25.5</v>
      </c>
    </row>
    <row r="51" spans="1:3" x14ac:dyDescent="0.3">
      <c r="A51" s="5" t="s">
        <v>48</v>
      </c>
      <c r="B51" s="5">
        <f>MAX(0, B15-B50)+(B16-B49)</f>
        <v>15</v>
      </c>
      <c r="C51" s="5">
        <f>MAX(0, C15-C50)+(C16-C49)</f>
        <v>15</v>
      </c>
    </row>
    <row r="53" spans="1:3" x14ac:dyDescent="0.3">
      <c r="A53" s="5" t="s">
        <v>49</v>
      </c>
      <c r="B53" s="5">
        <f>SUM(B41:B47)+B51</f>
        <v>-4.6400000000000077</v>
      </c>
      <c r="C53" s="5">
        <f>SUM(C41:C47)+C51</f>
        <v>-4.2250000000000085</v>
      </c>
    </row>
    <row r="54" spans="1:3" x14ac:dyDescent="0.3">
      <c r="A54" s="5" t="s">
        <v>50</v>
      </c>
      <c r="B54" s="5" t="str">
        <f>IF(B53&lt;0.1, "KRITISCH", "OK")</f>
        <v>KRITISCH</v>
      </c>
      <c r="C54" s="5" t="str">
        <f>IF(C53&lt;0.1, "KRITISCH", "OK")</f>
        <v>KRITISCH</v>
      </c>
    </row>
  </sheetData>
  <pageMargins left="0.75" right="0.75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TOPSIM Planung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Kempe</cp:lastModifiedBy>
  <dcterms:created xsi:type="dcterms:W3CDTF">2026-04-15T18:58:16Z</dcterms:created>
  <dcterms:modified xsi:type="dcterms:W3CDTF">2026-04-15T19:28:54Z</dcterms:modified>
</cp:coreProperties>
</file>