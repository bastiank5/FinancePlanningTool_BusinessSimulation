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\FinancePlanningTool_BusinessSimulation\"/>
    </mc:Choice>
  </mc:AlternateContent>
  <xr:revisionPtr revIDLastSave="0" documentId="11_3CE2EC4DD8D29AF12165EB9545AAF9CB1A8FFD3C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1_Ist_Daten" sheetId="1" r:id="rId1"/>
    <sheet name="2_Team_Inputs" sheetId="2" r:id="rId2"/>
    <sheet name="3_Szenario_Rechner" sheetId="3" r:id="rId3"/>
    <sheet name="4_Liquiditaetsplanun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4" l="1"/>
  <c r="C23" i="4"/>
  <c r="B23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2" i="4"/>
  <c r="C12" i="4"/>
  <c r="B12" i="4"/>
  <c r="D9" i="4"/>
  <c r="C9" i="4"/>
  <c r="B9" i="4"/>
  <c r="D8" i="4"/>
  <c r="C8" i="4"/>
  <c r="B8" i="4"/>
  <c r="D7" i="4"/>
  <c r="C7" i="4"/>
  <c r="B7" i="4"/>
  <c r="D5" i="4"/>
  <c r="C5" i="4"/>
  <c r="B5" i="4"/>
  <c r="D4" i="4"/>
  <c r="C4" i="4"/>
  <c r="B4" i="4"/>
  <c r="D12" i="3"/>
  <c r="D6" i="4" s="1"/>
  <c r="C12" i="3"/>
  <c r="C6" i="4" s="1"/>
  <c r="B12" i="3"/>
  <c r="B6" i="4" s="1"/>
  <c r="D11" i="3"/>
  <c r="D19" i="4" s="1"/>
  <c r="C11" i="3"/>
  <c r="C19" i="4" s="1"/>
  <c r="B11" i="3"/>
  <c r="B19" i="4" s="1"/>
  <c r="D8" i="3"/>
  <c r="C8" i="3"/>
  <c r="C3" i="4" s="1"/>
  <c r="B8" i="3"/>
  <c r="B3" i="4" s="1"/>
  <c r="F18" i="2"/>
  <c r="E18" i="2"/>
  <c r="D18" i="2"/>
  <c r="C18" i="2"/>
  <c r="D17" i="2"/>
  <c r="C17" i="2"/>
  <c r="C19" i="2" s="1"/>
  <c r="B17" i="2"/>
  <c r="G10" i="2"/>
  <c r="F10" i="2"/>
  <c r="F17" i="2" s="1"/>
  <c r="E10" i="2"/>
  <c r="E17" i="2" s="1"/>
  <c r="D10" i="2"/>
  <c r="C10" i="2"/>
  <c r="B10" i="2"/>
  <c r="B18" i="2" s="1"/>
  <c r="G18" i="2" s="1"/>
  <c r="A10" i="2"/>
  <c r="G9" i="2"/>
  <c r="G8" i="2"/>
  <c r="G7" i="2"/>
  <c r="G6" i="2"/>
  <c r="E19" i="2" l="1"/>
  <c r="E20" i="2" s="1"/>
  <c r="F19" i="2"/>
  <c r="F20" i="2" s="1"/>
  <c r="B10" i="4"/>
  <c r="G17" i="2"/>
  <c r="C10" i="4"/>
  <c r="D19" i="2"/>
  <c r="D20" i="2" s="1"/>
  <c r="C20" i="2"/>
  <c r="B19" i="2"/>
  <c r="D3" i="4"/>
  <c r="D10" i="4" s="1"/>
  <c r="D9" i="3" l="1"/>
  <c r="C9" i="3"/>
  <c r="B9" i="3"/>
  <c r="G19" i="2"/>
  <c r="B20" i="2"/>
  <c r="G20" i="2" s="1"/>
  <c r="D10" i="3" l="1"/>
  <c r="D13" i="3" s="1"/>
  <c r="B13" i="4"/>
  <c r="D13" i="4"/>
  <c r="C13" i="4"/>
  <c r="B10" i="3"/>
  <c r="B13" i="3" s="1"/>
  <c r="C10" i="3"/>
  <c r="C13" i="3" s="1"/>
  <c r="C14" i="3" l="1"/>
  <c r="C15" i="3" s="1"/>
  <c r="C20" i="4" s="1"/>
  <c r="C21" i="4" s="1"/>
  <c r="C24" i="4" s="1"/>
  <c r="C22" i="3" s="1"/>
  <c r="C23" i="3" s="1"/>
  <c r="B14" i="3"/>
  <c r="B15" i="3" s="1"/>
  <c r="B20" i="4" s="1"/>
  <c r="B21" i="4" s="1"/>
  <c r="B24" i="4" s="1"/>
  <c r="B22" i="3" s="1"/>
  <c r="B23" i="3" s="1"/>
  <c r="D14" i="3"/>
  <c r="D15" i="3" s="1"/>
  <c r="D20" i="4" s="1"/>
  <c r="D21" i="4" s="1"/>
  <c r="D24" i="4" s="1"/>
  <c r="D22" i="3" s="1"/>
  <c r="D23" i="3" s="1"/>
  <c r="D16" i="3"/>
  <c r="D18" i="3" l="1"/>
  <c r="D19" i="3" s="1"/>
  <c r="D20" i="3"/>
  <c r="B16" i="3"/>
  <c r="C16" i="3"/>
  <c r="C18" i="3" l="1"/>
  <c r="C19" i="3" s="1"/>
  <c r="C20" i="3"/>
  <c r="B20" i="3"/>
  <c r="B18" i="3"/>
  <c r="B19" i="3" s="1"/>
</calcChain>
</file>

<file path=xl/sharedStrings.xml><?xml version="1.0" encoding="utf-8"?>
<sst xmlns="http://schemas.openxmlformats.org/spreadsheetml/2006/main" count="177" uniqueCount="140">
  <si>
    <t>Feld</t>
  </si>
  <si>
    <t>Wert</t>
  </si>
  <si>
    <t>Einheit</t>
  </si>
  <si>
    <t>Hinweis (Aus letzter Excel/Berichten)</t>
  </si>
  <si>
    <t>Kassenbestand (Start Periode)</t>
  </si>
  <si>
    <t>MEUR</t>
  </si>
  <si>
    <t>Aus Bilanz Aktiva</t>
  </si>
  <si>
    <t>Forderungen aus L&amp;L (Vorperiode)</t>
  </si>
  <si>
    <t>Bilanz Aktiva - wird zu Einzahlungen</t>
  </si>
  <si>
    <t>Eigenkapital</t>
  </si>
  <si>
    <t>Aus Bilanz Passiva</t>
  </si>
  <si>
    <t>Gewinnvortrag</t>
  </si>
  <si>
    <t>Maximal mögliche Dividende</t>
  </si>
  <si>
    <t>Steuerlicher Verlustvortrag</t>
  </si>
  <si>
    <t>Vorjahresverlust (vermindert Steuern)</t>
  </si>
  <si>
    <t>Pensionsrückstellungen</t>
  </si>
  <si>
    <t>Passiva</t>
  </si>
  <si>
    <t>Bestehende Kurzfristkredite (Alt)</t>
  </si>
  <si>
    <t>Werden auto-getilgt (fließen zwingend ab!)</t>
  </si>
  <si>
    <t>Alt-Überziehungskredit</t>
  </si>
  <si>
    <t>Aus Vorperiode, falls angefallen</t>
  </si>
  <si>
    <t>Bestehende Langfristkredite (Alt)</t>
  </si>
  <si>
    <t>Nur für Plan-Zinsen wichtig</t>
  </si>
  <si>
    <t>Wertpapiere (Vorperiode)</t>
  </si>
  <si>
    <t>Werden auto-zurückgezahlt</t>
  </si>
  <si>
    <t>Zinssatz Wertpapiere (%)</t>
  </si>
  <si>
    <t>%</t>
  </si>
  <si>
    <t>Aus Wirtschaftsnachrichten</t>
  </si>
  <si>
    <t>Geplante E-Steuer (%)</t>
  </si>
  <si>
    <t>Im Handbuch S.33 klar auf 45% festgelegt</t>
  </si>
  <si>
    <t>Zinssatz Langfristig (%)</t>
  </si>
  <si>
    <t>Bsp: 7% aus Handbuch S.31 / Per.0</t>
  </si>
  <si>
    <t>Zinssatz Kurzfristig (%)</t>
  </si>
  <si>
    <t>Bsp: 8% aus Berichten / Per.0</t>
  </si>
  <si>
    <t>Zinssatz Überziehen (%)</t>
  </si>
  <si>
    <t>13% Strafzins (Handbuch)</t>
  </si>
  <si>
    <t>Aktuelles Rating</t>
  </si>
  <si>
    <t>BBB</t>
  </si>
  <si>
    <t>Aktuelles Rating für Zinsanpassung</t>
  </si>
  <si>
    <t>Rating-Zinsänderung (%)</t>
  </si>
  <si>
    <t>Z.B. BBB = -1% (Handbuch S.32)</t>
  </si>
  <si>
    <t>Hinweis (Vom Team erfragen)</t>
  </si>
  <si>
    <t>Geplante Absatzmenge</t>
  </si>
  <si>
    <t>Stück</t>
  </si>
  <si>
    <t>Planzahl Vertrieb</t>
  </si>
  <si>
    <t>Geplanter Preis</t>
  </si>
  <si>
    <t>EUR</t>
  </si>
  <si>
    <t>Geplante Produktionsmenge</t>
  </si>
  <si>
    <t>Für Bestandsveränderung</t>
  </si>
  <si>
    <t>--- PERSONAL WESEN (MATRIX) ---</t>
  </si>
  <si>
    <t>Einkauf</t>
  </si>
  <si>
    <t>Verwaltung</t>
  </si>
  <si>
    <t>Fertigung</t>
  </si>
  <si>
    <t>F&amp;E</t>
  </si>
  <si>
    <t>Vertrieb</t>
  </si>
  <si>
    <t>Summe</t>
  </si>
  <si>
    <t>Personalanfangsbestand</t>
  </si>
  <si>
    <t>+ Einstellungen</t>
  </si>
  <si>
    <t>- Entlassungen</t>
  </si>
  <si>
    <t>- Fluktuation</t>
  </si>
  <si>
    <t>Kosten je Mitarbeiter (EUR)</t>
  </si>
  <si>
    <t>Kosten je Einstellung (EUR)</t>
  </si>
  <si>
    <t>Kosten je Entlassung (EUR)</t>
  </si>
  <si>
    <t>Training je Mitarbeiter (EUR)</t>
  </si>
  <si>
    <t>Personalnebenkosten (%)</t>
  </si>
  <si>
    <t>Normalerweise 40%</t>
  </si>
  <si>
    <t>--- BERECHNETE PERSONALKOSTEN (MEUR) ---</t>
  </si>
  <si>
    <t>Löhne/Gehälter</t>
  </si>
  <si>
    <t>Einstell./Entlass./Training</t>
  </si>
  <si>
    <t>Personalnebenkosten</t>
  </si>
  <si>
    <t>SUMME Personalkosten</t>
  </si>
  <si>
    <t>--- FERTIGUNG (SACHKOSTEN) ---</t>
  </si>
  <si>
    <t>Material- &amp; Maschinenkosten</t>
  </si>
  <si>
    <t>Reine Sachkosten Fertigung</t>
  </si>
  <si>
    <t>--- WEITERE OPERATIVE KOSTEN ---</t>
  </si>
  <si>
    <t>Total Verwaltungskosten</t>
  </si>
  <si>
    <t>Total Marketing/Vertrieb</t>
  </si>
  <si>
    <t>Forschung &amp; Entwicklung (F&amp;E)</t>
  </si>
  <si>
    <t>Ökologie, Technologie, etc.</t>
  </si>
  <si>
    <t>Marktforschung</t>
  </si>
  <si>
    <t>Kosten für Berichte / Analysen</t>
  </si>
  <si>
    <t>--- INVESTITIONEN ---</t>
  </si>
  <si>
    <t>Abschreibungen Alt-Anlagen</t>
  </si>
  <si>
    <t>inklusive 0.25 MEUR fixe Gebäude-AfA</t>
  </si>
  <si>
    <t>Geplante Neuinvestition (Fertigung)</t>
  </si>
  <si>
    <t>Totaler Kaufpreis Anlage - Cash Out!</t>
  </si>
  <si>
    <t>Geplante Neuinvestition (Umwelt)</t>
  </si>
  <si>
    <t>Investition in Umwelttechnik - Cash Out!</t>
  </si>
  <si>
    <t>Geplante Neu-Abschreibung</t>
  </si>
  <si>
    <t>Z.B. 10% Lineare Abschreibung</t>
  </si>
  <si>
    <t>Desinvestition/Verkauf Anlagen</t>
  </si>
  <si>
    <t>Einzahlung bei Anlagenverkauf</t>
  </si>
  <si>
    <t>Veränderung Pensionsrückstellungen</t>
  </si>
  <si>
    <t>Positiv = Cash-plus (Nicht zahlungswirksam!)</t>
  </si>
  <si>
    <t>Szenario A (Defensiv)</t>
  </si>
  <si>
    <t>Szenario B (Aggressiv)</t>
  </si>
  <si>
    <t>Szenario C</t>
  </si>
  <si>
    <t>--- 1: EINGABEN (DEINE CFO ENTSCHEIDUNG) ---</t>
  </si>
  <si>
    <t>NEUER Kurzfristiger Kredit (MEUR)</t>
  </si>
  <si>
    <t>NEUER Langfristiger Kredit (MEUR)</t>
  </si>
  <si>
    <t>Dividende (MEUR)</t>
  </si>
  <si>
    <t>Geplanter Wertpapierkauf</t>
  </si>
  <si>
    <t>--- 2: BERECHNUNG EBIT &amp; GEWINN ---</t>
  </si>
  <si>
    <t>Plan-Umsatz</t>
  </si>
  <si>
    <t>Plan-Bestandsveränderung</t>
  </si>
  <si>
    <t>Plan-EBIT</t>
  </si>
  <si>
    <t>Plan-Zinsaufwand (Kredite)</t>
  </si>
  <si>
    <t>Zinsertrag Wertpapiere</t>
  </si>
  <si>
    <t>Plan-EBT (Ergebnis vor Steuern)</t>
  </si>
  <si>
    <t>Bemessungsgrundlage Steuer</t>
  </si>
  <si>
    <t>Plan-Steuern</t>
  </si>
  <si>
    <t>Plan-Jahresüberschuss</t>
  </si>
  <si>
    <t>--- 3: TOPSIM ZIELEINGABEN ---</t>
  </si>
  <si>
    <t>Plan-Eigenkapital</t>
  </si>
  <si>
    <t>Plan-EKR (%)</t>
  </si>
  <si>
    <t>Plan-Operativer Cashflow (MEUR)</t>
  </si>
  <si>
    <t>--- 4: ZUR LIQUIDITÄTSPLANUNG ---</t>
  </si>
  <si>
    <t>Kassenbestand ENDE</t>
  </si>
  <si>
    <t>Warnung</t>
  </si>
  <si>
    <t>--- EINZAHLUNGEN (MEUR) ---</t>
  </si>
  <si>
    <t>Einzahlungen aus Umsatz lfd. Periode</t>
  </si>
  <si>
    <t>Einzahlungen Forderungen Vorperiode</t>
  </si>
  <si>
    <t>Rückzahlung Wertpapiere Vorperiode</t>
  </si>
  <si>
    <t>Zinsertrag Wertpapiere (Auszahlung hier)</t>
  </si>
  <si>
    <t>Kreditaufnahme Kurzfristig</t>
  </si>
  <si>
    <t>Kreditaufnahme Langfristig</t>
  </si>
  <si>
    <t>SUMME EINZAHLUNGEN</t>
  </si>
  <si>
    <t>--- AUSZAHLUNGEN (MEUR) ---</t>
  </si>
  <si>
    <t>Personalkosten (Total)</t>
  </si>
  <si>
    <t>Sonstige Aufwendungen (Budgets)</t>
  </si>
  <si>
    <t>Rückzahlung Alt-Kredite (Kurz + Überziehung)</t>
  </si>
  <si>
    <t>Plan-Neuinvestitionen (Fertigung + Umwelt)</t>
  </si>
  <si>
    <t>Wertpapierkauf</t>
  </si>
  <si>
    <t>Auszahlung Dividende</t>
  </si>
  <si>
    <t>Zinsaufwand (Kredite)</t>
  </si>
  <si>
    <t>Steuern</t>
  </si>
  <si>
    <t>SUMME AUSZAHLUNGEN</t>
  </si>
  <si>
    <t>--- KASSENBESTIMMUNG (MEUR) ---</t>
  </si>
  <si>
    <t>Kassenanfangsbestand</t>
  </si>
  <si>
    <t>PLAN-KASSENENDBESTAND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</si>
</sst>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9" fontId="0" fillId="0" borderId="0" xfId="0" applyNumberFormat="1"/>
  </cellXfs>
  <cellStyles count="1">
    <cellStyle name="Standard" xfId="0" builtinId="0"/>
  </cellStyles>
  <dxfs count="3"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tabSelected="1" workbookViewId="0"/>
  </sheetViews>
  <sheetFormatPr baseColWidth="10" defaultColWidth="8.7265625" defaultRowHeight="14.5" x14ac:dyDescent="0.35"/>
  <cols>
    <col min="1" max="1" width="45" customWidth="1"/>
    <col min="2" max="7" width="2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</row>
    <row r="2" spans="1:7" x14ac:dyDescent="0.35">
      <c r="A2" t="s">
        <v>4</v>
      </c>
      <c r="B2">
        <v>28.05</v>
      </c>
      <c r="C2" t="s">
        <v>5</v>
      </c>
      <c r="D2" t="s">
        <v>6</v>
      </c>
    </row>
    <row r="3" spans="1:7" x14ac:dyDescent="0.35">
      <c r="A3" t="s">
        <v>7</v>
      </c>
      <c r="B3">
        <v>31.36</v>
      </c>
      <c r="C3" t="s">
        <v>5</v>
      </c>
      <c r="D3" t="s">
        <v>8</v>
      </c>
    </row>
    <row r="4" spans="1:7" x14ac:dyDescent="0.35">
      <c r="A4" t="s">
        <v>9</v>
      </c>
      <c r="B4">
        <v>35.25</v>
      </c>
      <c r="C4" t="s">
        <v>5</v>
      </c>
      <c r="D4" t="s">
        <v>10</v>
      </c>
    </row>
    <row r="5" spans="1:7" x14ac:dyDescent="0.35">
      <c r="A5" t="s">
        <v>11</v>
      </c>
      <c r="B5">
        <v>5.27</v>
      </c>
      <c r="C5" t="s">
        <v>5</v>
      </c>
      <c r="D5" t="s">
        <v>12</v>
      </c>
    </row>
    <row r="6" spans="1:7" x14ac:dyDescent="0.35">
      <c r="A6" t="s">
        <v>13</v>
      </c>
      <c r="B6">
        <v>0</v>
      </c>
      <c r="C6" t="s">
        <v>5</v>
      </c>
      <c r="D6" t="s">
        <v>14</v>
      </c>
    </row>
    <row r="7" spans="1:7" x14ac:dyDescent="0.35">
      <c r="A7" t="s">
        <v>15</v>
      </c>
      <c r="B7">
        <v>15.95</v>
      </c>
      <c r="C7" t="s">
        <v>5</v>
      </c>
      <c r="D7" t="s">
        <v>16</v>
      </c>
    </row>
    <row r="8" spans="1:7" x14ac:dyDescent="0.35">
      <c r="A8" t="s">
        <v>17</v>
      </c>
      <c r="B8">
        <v>12</v>
      </c>
      <c r="C8" t="s">
        <v>5</v>
      </c>
      <c r="D8" t="s">
        <v>18</v>
      </c>
    </row>
    <row r="9" spans="1:7" x14ac:dyDescent="0.35">
      <c r="A9" t="s">
        <v>19</v>
      </c>
      <c r="B9">
        <v>0</v>
      </c>
      <c r="C9" t="s">
        <v>5</v>
      </c>
      <c r="D9" t="s">
        <v>20</v>
      </c>
    </row>
    <row r="10" spans="1:7" x14ac:dyDescent="0.35">
      <c r="A10" t="s">
        <v>21</v>
      </c>
      <c r="B10">
        <v>20</v>
      </c>
      <c r="C10" t="s">
        <v>5</v>
      </c>
      <c r="D10" t="s">
        <v>22</v>
      </c>
    </row>
    <row r="11" spans="1:7" x14ac:dyDescent="0.35">
      <c r="A11" t="s">
        <v>23</v>
      </c>
      <c r="B11">
        <v>0</v>
      </c>
      <c r="C11" t="s">
        <v>5</v>
      </c>
      <c r="D11" t="s">
        <v>24</v>
      </c>
    </row>
    <row r="12" spans="1:7" x14ac:dyDescent="0.35">
      <c r="A12" t="s">
        <v>25</v>
      </c>
      <c r="B12">
        <v>0.04</v>
      </c>
      <c r="C12" t="s">
        <v>26</v>
      </c>
      <c r="D12" t="s">
        <v>27</v>
      </c>
    </row>
    <row r="13" spans="1:7" x14ac:dyDescent="0.35">
      <c r="A13" t="s">
        <v>28</v>
      </c>
      <c r="B13">
        <v>0.45</v>
      </c>
      <c r="C13" t="s">
        <v>26</v>
      </c>
      <c r="D13" t="s">
        <v>29</v>
      </c>
    </row>
    <row r="14" spans="1:7" x14ac:dyDescent="0.35">
      <c r="A14" t="s">
        <v>30</v>
      </c>
      <c r="B14">
        <v>7.0000000000000007E-2</v>
      </c>
      <c r="C14" t="s">
        <v>26</v>
      </c>
      <c r="D14" t="s">
        <v>31</v>
      </c>
    </row>
    <row r="15" spans="1:7" x14ac:dyDescent="0.35">
      <c r="A15" t="s">
        <v>32</v>
      </c>
      <c r="B15">
        <v>0.08</v>
      </c>
      <c r="C15" t="s">
        <v>26</v>
      </c>
      <c r="D15" t="s">
        <v>33</v>
      </c>
    </row>
    <row r="16" spans="1:7" x14ac:dyDescent="0.35">
      <c r="A16" t="s">
        <v>34</v>
      </c>
      <c r="B16">
        <v>0.13</v>
      </c>
      <c r="C16" t="s">
        <v>26</v>
      </c>
      <c r="D16" t="s">
        <v>35</v>
      </c>
    </row>
    <row r="17" spans="1:4" x14ac:dyDescent="0.35">
      <c r="A17" t="s">
        <v>36</v>
      </c>
      <c r="B17" t="s">
        <v>37</v>
      </c>
      <c r="D17" t="s">
        <v>38</v>
      </c>
    </row>
    <row r="18" spans="1:4" x14ac:dyDescent="0.35">
      <c r="A18" t="s">
        <v>39</v>
      </c>
      <c r="B18">
        <v>-0.01</v>
      </c>
      <c r="C18" t="s">
        <v>26</v>
      </c>
      <c r="D18" t="s">
        <v>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/>
  </sheetViews>
  <sheetFormatPr baseColWidth="10" defaultColWidth="8.7265625" defaultRowHeight="14.5" x14ac:dyDescent="0.35"/>
  <cols>
    <col min="1" max="1" width="45" customWidth="1"/>
    <col min="2" max="7" width="2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41</v>
      </c>
      <c r="E1" s="1"/>
      <c r="F1" s="1"/>
      <c r="G1" s="1"/>
    </row>
    <row r="2" spans="1:7" x14ac:dyDescent="0.35">
      <c r="A2" t="s">
        <v>42</v>
      </c>
      <c r="B2">
        <v>45000</v>
      </c>
      <c r="C2" t="s">
        <v>43</v>
      </c>
      <c r="D2" t="s">
        <v>44</v>
      </c>
    </row>
    <row r="3" spans="1:7" x14ac:dyDescent="0.35">
      <c r="A3" t="s">
        <v>45</v>
      </c>
      <c r="B3">
        <v>3000</v>
      </c>
      <c r="C3" t="s">
        <v>46</v>
      </c>
      <c r="D3" t="s">
        <v>44</v>
      </c>
    </row>
    <row r="4" spans="1:7" x14ac:dyDescent="0.35">
      <c r="A4" t="s">
        <v>47</v>
      </c>
      <c r="B4">
        <v>45000</v>
      </c>
      <c r="C4" t="s">
        <v>43</v>
      </c>
      <c r="D4" t="s">
        <v>48</v>
      </c>
    </row>
    <row r="5" spans="1:7" x14ac:dyDescent="0.35">
      <c r="A5" s="1" t="s">
        <v>49</v>
      </c>
      <c r="B5" t="s">
        <v>50</v>
      </c>
      <c r="C5" t="s">
        <v>51</v>
      </c>
      <c r="D5" t="s">
        <v>52</v>
      </c>
      <c r="E5" t="s">
        <v>53</v>
      </c>
      <c r="F5" t="s">
        <v>54</v>
      </c>
      <c r="G5" t="s">
        <v>55</v>
      </c>
    </row>
    <row r="6" spans="1:7" x14ac:dyDescent="0.35">
      <c r="A6" t="s">
        <v>56</v>
      </c>
      <c r="B6">
        <v>20</v>
      </c>
      <c r="C6">
        <v>214</v>
      </c>
      <c r="D6">
        <v>857</v>
      </c>
      <c r="E6">
        <v>40</v>
      </c>
      <c r="F6">
        <v>100</v>
      </c>
      <c r="G6">
        <f>SUM(B6:F6)</f>
        <v>1231</v>
      </c>
    </row>
    <row r="7" spans="1:7" x14ac:dyDescent="0.35">
      <c r="A7" t="s">
        <v>57</v>
      </c>
      <c r="B7">
        <v>0</v>
      </c>
      <c r="C7">
        <v>0</v>
      </c>
      <c r="D7">
        <v>50</v>
      </c>
      <c r="E7">
        <v>0</v>
      </c>
      <c r="F7">
        <v>0</v>
      </c>
      <c r="G7">
        <f>SUM(B7:F7)</f>
        <v>50</v>
      </c>
    </row>
    <row r="8" spans="1:7" x14ac:dyDescent="0.35">
      <c r="A8" t="s">
        <v>58</v>
      </c>
      <c r="B8">
        <v>0</v>
      </c>
      <c r="C8">
        <v>0</v>
      </c>
      <c r="D8">
        <v>0</v>
      </c>
      <c r="E8">
        <v>0</v>
      </c>
      <c r="F8">
        <v>0</v>
      </c>
      <c r="G8">
        <f>SUM(B8:F8)</f>
        <v>0</v>
      </c>
    </row>
    <row r="9" spans="1:7" x14ac:dyDescent="0.35">
      <c r="A9" t="s">
        <v>59</v>
      </c>
      <c r="B9">
        <v>0</v>
      </c>
      <c r="C9">
        <v>0</v>
      </c>
      <c r="D9">
        <v>0</v>
      </c>
      <c r="E9">
        <v>0</v>
      </c>
      <c r="F9">
        <v>0</v>
      </c>
      <c r="G9">
        <f>SUM(B9:F9)</f>
        <v>0</v>
      </c>
    </row>
    <row r="10" spans="1:7" x14ac:dyDescent="0.35">
      <c r="A10" t="e">
        <f>Personalendbestand</f>
        <v>#NAME?</v>
      </c>
      <c r="B10">
        <f>B6+B7-B8-B9</f>
        <v>20</v>
      </c>
      <c r="C10">
        <f>C6+C7-C8-C9</f>
        <v>214</v>
      </c>
      <c r="D10">
        <f>D6+D7-D8-D9</f>
        <v>907</v>
      </c>
      <c r="E10">
        <f>E6+E7-E8-E9</f>
        <v>40</v>
      </c>
      <c r="F10">
        <f>F6+F7-F8-F9</f>
        <v>100</v>
      </c>
      <c r="G10">
        <f>SUM(B10:F10)</f>
        <v>1281</v>
      </c>
    </row>
    <row r="11" spans="1:7" x14ac:dyDescent="0.35">
      <c r="A11" t="s">
        <v>60</v>
      </c>
      <c r="B11">
        <v>31000</v>
      </c>
      <c r="C11">
        <v>29000</v>
      </c>
      <c r="D11">
        <v>31000</v>
      </c>
      <c r="E11">
        <v>45000</v>
      </c>
      <c r="F11">
        <v>41000</v>
      </c>
    </row>
    <row r="12" spans="1:7" x14ac:dyDescent="0.35">
      <c r="A12" t="s">
        <v>61</v>
      </c>
      <c r="B12">
        <v>12500</v>
      </c>
      <c r="C12">
        <v>12500</v>
      </c>
      <c r="D12">
        <v>12500</v>
      </c>
      <c r="E12">
        <v>12500</v>
      </c>
      <c r="F12">
        <v>12500</v>
      </c>
    </row>
    <row r="13" spans="1:7" x14ac:dyDescent="0.35">
      <c r="A13" t="s">
        <v>62</v>
      </c>
      <c r="B13">
        <v>10000</v>
      </c>
      <c r="C13">
        <v>10000</v>
      </c>
      <c r="D13">
        <v>10000</v>
      </c>
      <c r="E13">
        <v>10000</v>
      </c>
      <c r="F13">
        <v>10000</v>
      </c>
    </row>
    <row r="14" spans="1:7" x14ac:dyDescent="0.35">
      <c r="A14" t="s">
        <v>63</v>
      </c>
      <c r="B14">
        <v>1600</v>
      </c>
      <c r="C14">
        <v>1600</v>
      </c>
      <c r="D14">
        <v>1600</v>
      </c>
      <c r="E14">
        <v>1600</v>
      </c>
      <c r="F14">
        <v>1600</v>
      </c>
    </row>
    <row r="15" spans="1:7" x14ac:dyDescent="0.35">
      <c r="A15" t="s">
        <v>64</v>
      </c>
      <c r="B15" s="2">
        <v>0.4</v>
      </c>
      <c r="G15" t="s">
        <v>65</v>
      </c>
    </row>
    <row r="16" spans="1:7" x14ac:dyDescent="0.35">
      <c r="A16" s="1" t="s">
        <v>66</v>
      </c>
    </row>
    <row r="17" spans="1:7" x14ac:dyDescent="0.35">
      <c r="A17" t="s">
        <v>67</v>
      </c>
      <c r="B17">
        <f>(B10*B11)/1000000</f>
        <v>0.62</v>
      </c>
      <c r="C17">
        <f>(C10*C11)/1000000</f>
        <v>6.2060000000000004</v>
      </c>
      <c r="D17">
        <f>(D10*D11)/1000000</f>
        <v>28.117000000000001</v>
      </c>
      <c r="E17">
        <f>(E10*E11)/1000000</f>
        <v>1.8</v>
      </c>
      <c r="F17">
        <f>(F10*F11)/1000000</f>
        <v>4.0999999999999996</v>
      </c>
      <c r="G17">
        <f>SUM(B17:F17)</f>
        <v>40.842999999999996</v>
      </c>
    </row>
    <row r="18" spans="1:7" x14ac:dyDescent="0.35">
      <c r="A18" t="s">
        <v>68</v>
      </c>
      <c r="B18">
        <f>(B7*B12 + B8*B13 + B10*B14)/1000000</f>
        <v>3.2000000000000001E-2</v>
      </c>
      <c r="C18">
        <f>(C7*C12 + C8*C13 + C10*C14)/1000000</f>
        <v>0.34239999999999998</v>
      </c>
      <c r="D18">
        <f>(D7*D12 + D8*D13 + D10*D14)/1000000</f>
        <v>2.0762</v>
      </c>
      <c r="E18">
        <f>(E7*E12 + E8*E13 + E10*E14)/1000000</f>
        <v>6.4000000000000001E-2</v>
      </c>
      <c r="F18">
        <f>(F7*F12 + F8*F13 + F10*F14)/1000000</f>
        <v>0.16</v>
      </c>
      <c r="G18">
        <f>SUM(B18:F18)</f>
        <v>2.6746000000000003</v>
      </c>
    </row>
    <row r="19" spans="1:7" x14ac:dyDescent="0.35">
      <c r="A19" t="s">
        <v>69</v>
      </c>
      <c r="B19">
        <f>B17*$B$15</f>
        <v>0.248</v>
      </c>
      <c r="C19">
        <f>C17*$B$15</f>
        <v>2.4824000000000002</v>
      </c>
      <c r="D19">
        <f>D17*$B$15</f>
        <v>11.2468</v>
      </c>
      <c r="E19">
        <f>E17*$B$15</f>
        <v>0.72000000000000008</v>
      </c>
      <c r="F19">
        <f>F17*$B$15</f>
        <v>1.64</v>
      </c>
      <c r="G19">
        <f>SUM(B19:F19)</f>
        <v>16.337199999999999</v>
      </c>
    </row>
    <row r="20" spans="1:7" x14ac:dyDescent="0.35">
      <c r="A20" t="s">
        <v>70</v>
      </c>
      <c r="B20">
        <f>B17+B18+B19</f>
        <v>0.9</v>
      </c>
      <c r="C20">
        <f>C17+C18+C19</f>
        <v>9.0307999999999993</v>
      </c>
      <c r="D20">
        <f>D17+D18+D19</f>
        <v>41.44</v>
      </c>
      <c r="E20">
        <f>E17+E18+E19</f>
        <v>2.5840000000000001</v>
      </c>
      <c r="F20">
        <f>F17+F18+F19</f>
        <v>5.8999999999999995</v>
      </c>
      <c r="G20">
        <f>SUM(B20:F20)</f>
        <v>59.854799999999997</v>
      </c>
    </row>
    <row r="21" spans="1:7" x14ac:dyDescent="0.35">
      <c r="A21" s="1" t="s">
        <v>71</v>
      </c>
    </row>
    <row r="22" spans="1:7" x14ac:dyDescent="0.35">
      <c r="A22" t="s">
        <v>72</v>
      </c>
      <c r="B22">
        <v>50</v>
      </c>
      <c r="C22" t="s">
        <v>5</v>
      </c>
      <c r="D22" t="s">
        <v>73</v>
      </c>
    </row>
    <row r="23" spans="1:7" x14ac:dyDescent="0.35">
      <c r="A23" s="1" t="s">
        <v>74</v>
      </c>
    </row>
    <row r="24" spans="1:7" x14ac:dyDescent="0.35">
      <c r="A24" t="s">
        <v>75</v>
      </c>
      <c r="B24">
        <v>10</v>
      </c>
      <c r="C24" t="s">
        <v>5</v>
      </c>
    </row>
    <row r="25" spans="1:7" x14ac:dyDescent="0.35">
      <c r="A25" t="s">
        <v>76</v>
      </c>
      <c r="B25">
        <v>15</v>
      </c>
      <c r="C25" t="s">
        <v>5</v>
      </c>
    </row>
    <row r="26" spans="1:7" x14ac:dyDescent="0.35">
      <c r="A26" t="s">
        <v>77</v>
      </c>
      <c r="B26">
        <v>2.5</v>
      </c>
      <c r="C26" t="s">
        <v>5</v>
      </c>
      <c r="D26" t="s">
        <v>78</v>
      </c>
    </row>
    <row r="27" spans="1:7" x14ac:dyDescent="0.35">
      <c r="A27" t="s">
        <v>79</v>
      </c>
      <c r="B27">
        <v>0.15</v>
      </c>
      <c r="C27" t="s">
        <v>5</v>
      </c>
      <c r="D27" t="s">
        <v>80</v>
      </c>
    </row>
    <row r="28" spans="1:7" x14ac:dyDescent="0.35">
      <c r="A28" s="1" t="s">
        <v>81</v>
      </c>
    </row>
    <row r="29" spans="1:7" x14ac:dyDescent="0.35">
      <c r="A29" t="s">
        <v>82</v>
      </c>
      <c r="B29">
        <v>6</v>
      </c>
      <c r="C29" t="s">
        <v>5</v>
      </c>
      <c r="D29" t="s">
        <v>83</v>
      </c>
    </row>
    <row r="30" spans="1:7" x14ac:dyDescent="0.35">
      <c r="A30" t="s">
        <v>84</v>
      </c>
      <c r="B30">
        <v>15</v>
      </c>
      <c r="C30" t="s">
        <v>5</v>
      </c>
      <c r="D30" t="s">
        <v>85</v>
      </c>
    </row>
    <row r="31" spans="1:7" x14ac:dyDescent="0.35">
      <c r="A31" t="s">
        <v>86</v>
      </c>
      <c r="B31">
        <v>0</v>
      </c>
      <c r="C31" t="s">
        <v>5</v>
      </c>
      <c r="D31" t="s">
        <v>87</v>
      </c>
    </row>
    <row r="32" spans="1:7" x14ac:dyDescent="0.35">
      <c r="A32" t="s">
        <v>88</v>
      </c>
      <c r="B32">
        <v>1.5</v>
      </c>
      <c r="C32" t="s">
        <v>5</v>
      </c>
      <c r="D32" t="s">
        <v>89</v>
      </c>
    </row>
    <row r="33" spans="1:4" x14ac:dyDescent="0.35">
      <c r="A33" t="s">
        <v>90</v>
      </c>
      <c r="B33">
        <v>0</v>
      </c>
      <c r="C33" t="s">
        <v>5</v>
      </c>
      <c r="D33" t="s">
        <v>91</v>
      </c>
    </row>
    <row r="34" spans="1:4" x14ac:dyDescent="0.35">
      <c r="A34" t="s">
        <v>92</v>
      </c>
      <c r="B34">
        <v>2</v>
      </c>
      <c r="C34" t="s">
        <v>5</v>
      </c>
      <c r="D34" t="s">
        <v>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3"/>
  <sheetViews>
    <sheetView workbookViewId="0"/>
  </sheetViews>
  <sheetFormatPr baseColWidth="10" defaultColWidth="8.7265625" defaultRowHeight="14.5" x14ac:dyDescent="0.35"/>
  <cols>
    <col min="1" max="1" width="45" customWidth="1"/>
    <col min="2" max="7" width="25" customWidth="1"/>
  </cols>
  <sheetData>
    <row r="1" spans="1:7" x14ac:dyDescent="0.35">
      <c r="A1" s="1" t="s">
        <v>0</v>
      </c>
      <c r="B1" s="1" t="s">
        <v>94</v>
      </c>
      <c r="C1" s="1" t="s">
        <v>95</v>
      </c>
      <c r="D1" s="1" t="s">
        <v>96</v>
      </c>
      <c r="E1" s="1"/>
      <c r="F1" s="1"/>
      <c r="G1" s="1"/>
    </row>
    <row r="2" spans="1:7" x14ac:dyDescent="0.35">
      <c r="A2" s="1" t="s">
        <v>97</v>
      </c>
    </row>
    <row r="3" spans="1:7" x14ac:dyDescent="0.35">
      <c r="A3" t="s">
        <v>98</v>
      </c>
      <c r="B3">
        <v>15</v>
      </c>
      <c r="C3">
        <v>20</v>
      </c>
      <c r="D3">
        <v>10</v>
      </c>
    </row>
    <row r="4" spans="1:7" x14ac:dyDescent="0.35">
      <c r="A4" t="s">
        <v>99</v>
      </c>
      <c r="B4">
        <v>0</v>
      </c>
      <c r="C4">
        <v>10</v>
      </c>
      <c r="D4">
        <v>0</v>
      </c>
    </row>
    <row r="5" spans="1:7" x14ac:dyDescent="0.35">
      <c r="A5" t="s">
        <v>100</v>
      </c>
      <c r="B5">
        <v>1</v>
      </c>
      <c r="C5">
        <v>0</v>
      </c>
      <c r="D5">
        <v>2</v>
      </c>
    </row>
    <row r="6" spans="1:7" x14ac:dyDescent="0.35">
      <c r="A6" t="s">
        <v>101</v>
      </c>
      <c r="B6">
        <v>0</v>
      </c>
      <c r="C6">
        <v>0</v>
      </c>
      <c r="D6">
        <v>0</v>
      </c>
    </row>
    <row r="7" spans="1:7" x14ac:dyDescent="0.35">
      <c r="A7" s="1" t="s">
        <v>102</v>
      </c>
    </row>
    <row r="8" spans="1:7" x14ac:dyDescent="0.35">
      <c r="A8" t="s">
        <v>103</v>
      </c>
      <c r="B8">
        <f>'2_Team_Inputs'!B2*'2_Team_Inputs'!B3/1000000</f>
        <v>135</v>
      </c>
      <c r="C8">
        <f>'2_Team_Inputs'!B2*'2_Team_Inputs'!B3/1000000</f>
        <v>135</v>
      </c>
      <c r="D8">
        <f>'2_Team_Inputs'!B2*'2_Team_Inputs'!B3/1000000</f>
        <v>135</v>
      </c>
    </row>
    <row r="9" spans="1:7" x14ac:dyDescent="0.35">
      <c r="A9" t="s">
        <v>104</v>
      </c>
      <c r="B9">
        <f>IF('2_Team_Inputs'!B4&gt;0, ('2_Team_Inputs'!B4-'2_Team_Inputs'!B2)*( ('2_Team_Inputs'!$B$22+'2_Team_Inputs'!$D$20)/'2_Team_Inputs'!B4 ), 0)</f>
        <v>0</v>
      </c>
      <c r="C9">
        <f>IF('2_Team_Inputs'!B4&gt;0, ('2_Team_Inputs'!B4-'2_Team_Inputs'!B2)*( ('2_Team_Inputs'!$B$22+'2_Team_Inputs'!$D$20)/'2_Team_Inputs'!B4 ), 0)</f>
        <v>0</v>
      </c>
      <c r="D9">
        <f>IF('2_Team_Inputs'!B4&gt;0, ('2_Team_Inputs'!B4-'2_Team_Inputs'!B2)*( ('2_Team_Inputs'!$B$22+'2_Team_Inputs'!$D$20)/'2_Team_Inputs'!B4 ), 0)</f>
        <v>0</v>
      </c>
    </row>
    <row r="10" spans="1:7" x14ac:dyDescent="0.35">
      <c r="A10" t="s">
        <v>105</v>
      </c>
      <c r="B10">
        <f>B8+B9-'2_Team_Inputs'!$G$20-'2_Team_Inputs'!$B$22-SUM('2_Team_Inputs'!$B$24:$B$27)-'2_Team_Inputs'!$B$29-'2_Team_Inputs'!$B$32</f>
        <v>-10.004799999999996</v>
      </c>
      <c r="C10">
        <f>C8+C9-'2_Team_Inputs'!$G$20-'2_Team_Inputs'!$B$22-SUM('2_Team_Inputs'!$B$24:$B$27)-'2_Team_Inputs'!$B$29-'2_Team_Inputs'!$B$32</f>
        <v>-10.004799999999996</v>
      </c>
      <c r="D10">
        <f>D8+D9-'2_Team_Inputs'!$G$20-'2_Team_Inputs'!$B$22-SUM('2_Team_Inputs'!$B$24:$B$27)-'2_Team_Inputs'!$B$29-'2_Team_Inputs'!$B$32</f>
        <v>-10.004799999999996</v>
      </c>
    </row>
    <row r="11" spans="1:7" x14ac:dyDescent="0.35">
      <c r="A11" t="s">
        <v>106</v>
      </c>
      <c r="B11">
        <f>(B3+'1_Ist_Daten'!$B$8)*('1_Ist_Daten'!$B$15+'1_Ist_Daten'!$B$18) + (B4*('1_Ist_Daten'!$B$14+'1_Ist_Daten'!$B$18)) + ('1_Ist_Daten'!$B$10*'1_Ist_Daten'!$B$14) + ('1_Ist_Daten'!$B$9*'1_Ist_Daten'!$B$16)</f>
        <v>3.29</v>
      </c>
      <c r="C11">
        <f>(C3+'1_Ist_Daten'!$B$8)*('1_Ist_Daten'!$B$15+'1_Ist_Daten'!$B$18) + (C4*('1_Ist_Daten'!$B$14+'1_Ist_Daten'!$B$18)) + ('1_Ist_Daten'!$B$10*'1_Ist_Daten'!$B$14) + ('1_Ist_Daten'!$B$9*'1_Ist_Daten'!$B$16)</f>
        <v>4.24</v>
      </c>
      <c r="D11">
        <f>(D3+'1_Ist_Daten'!$B$8)*('1_Ist_Daten'!$B$15+'1_Ist_Daten'!$B$18) + (D4*('1_Ist_Daten'!$B$14+'1_Ist_Daten'!$B$18)) + ('1_Ist_Daten'!$B$10*'1_Ist_Daten'!$B$14) + ('1_Ist_Daten'!$B$9*'1_Ist_Daten'!$B$16)</f>
        <v>2.9400000000000004</v>
      </c>
    </row>
    <row r="12" spans="1:7" x14ac:dyDescent="0.35">
      <c r="A12" t="s">
        <v>107</v>
      </c>
      <c r="B12">
        <f>B6*'1_Ist_Daten'!$B$12</f>
        <v>0</v>
      </c>
      <c r="C12">
        <f>C6*'1_Ist_Daten'!$B$12</f>
        <v>0</v>
      </c>
      <c r="D12">
        <f>D6*'1_Ist_Daten'!$B$12</f>
        <v>0</v>
      </c>
    </row>
    <row r="13" spans="1:7" x14ac:dyDescent="0.35">
      <c r="A13" t="s">
        <v>108</v>
      </c>
      <c r="B13">
        <f>B10-B11+B12</f>
        <v>-13.294799999999995</v>
      </c>
      <c r="C13">
        <f>C10-C11+C12</f>
        <v>-14.244799999999996</v>
      </c>
      <c r="D13">
        <f>D10-D11+D12</f>
        <v>-12.944799999999997</v>
      </c>
    </row>
    <row r="14" spans="1:7" x14ac:dyDescent="0.35">
      <c r="A14" t="s">
        <v>109</v>
      </c>
      <c r="B14">
        <f>MAX(0, B13-'1_Ist_Daten'!$B$6)</f>
        <v>0</v>
      </c>
      <c r="C14">
        <f>MAX(0, C13-'1_Ist_Daten'!$B$6)</f>
        <v>0</v>
      </c>
      <c r="D14">
        <f>MAX(0, D13-'1_Ist_Daten'!$B$6)</f>
        <v>0</v>
      </c>
    </row>
    <row r="15" spans="1:7" x14ac:dyDescent="0.35">
      <c r="A15" t="s">
        <v>110</v>
      </c>
      <c r="B15">
        <f>B14*'1_Ist_Daten'!$B$13</f>
        <v>0</v>
      </c>
      <c r="C15">
        <f>C14*'1_Ist_Daten'!$B$13</f>
        <v>0</v>
      </c>
      <c r="D15">
        <f>D14*'1_Ist_Daten'!$B$13</f>
        <v>0</v>
      </c>
    </row>
    <row r="16" spans="1:7" x14ac:dyDescent="0.35">
      <c r="A16" t="s">
        <v>111</v>
      </c>
      <c r="B16">
        <f>B13-B15</f>
        <v>-13.294799999999995</v>
      </c>
      <c r="C16">
        <f>C13-C15</f>
        <v>-14.244799999999996</v>
      </c>
      <c r="D16">
        <f>D13-D15</f>
        <v>-12.944799999999997</v>
      </c>
    </row>
    <row r="17" spans="1:4" x14ac:dyDescent="0.35">
      <c r="A17" s="1" t="s">
        <v>112</v>
      </c>
    </row>
    <row r="18" spans="1:4" x14ac:dyDescent="0.35">
      <c r="A18" t="s">
        <v>113</v>
      </c>
      <c r="B18">
        <f>'1_Ist_Daten'!$B$4+B16-B5</f>
        <v>20.955200000000005</v>
      </c>
      <c r="C18">
        <f>'1_Ist_Daten'!$B$4+C16-C5</f>
        <v>21.005200000000002</v>
      </c>
      <c r="D18">
        <f>'1_Ist_Daten'!$B$4+D16-D5</f>
        <v>20.305200000000003</v>
      </c>
    </row>
    <row r="19" spans="1:4" x14ac:dyDescent="0.35">
      <c r="A19" t="s">
        <v>114</v>
      </c>
      <c r="B19">
        <f>(B16/B18)*100</f>
        <v>-63.443918454607882</v>
      </c>
      <c r="C19">
        <f>(C16/C18)*100</f>
        <v>-67.815588520937638</v>
      </c>
      <c r="D19">
        <f>(D16/D18)*100</f>
        <v>-63.751157339006738</v>
      </c>
    </row>
    <row r="20" spans="1:4" x14ac:dyDescent="0.35">
      <c r="A20" t="s">
        <v>115</v>
      </c>
      <c r="B20">
        <f>B16+'2_Team_Inputs'!$B$29+'2_Team_Inputs'!$B$32+'2_Team_Inputs'!$B$34</f>
        <v>-3.7947999999999951</v>
      </c>
      <c r="C20">
        <f>C16+'2_Team_Inputs'!$B$29+'2_Team_Inputs'!$B$32+'2_Team_Inputs'!$B$34</f>
        <v>-4.7447999999999961</v>
      </c>
      <c r="D20">
        <f>D16+'2_Team_Inputs'!$B$29+'2_Team_Inputs'!$B$32+'2_Team_Inputs'!$B$34</f>
        <v>-3.4447999999999972</v>
      </c>
    </row>
    <row r="21" spans="1:4" x14ac:dyDescent="0.35">
      <c r="A21" s="1" t="s">
        <v>116</v>
      </c>
    </row>
    <row r="22" spans="1:4" x14ac:dyDescent="0.35">
      <c r="A22" t="s">
        <v>117</v>
      </c>
      <c r="B22">
        <f>'4_Liquiditaetsplanung'!B24</f>
        <v>13.615200000000044</v>
      </c>
      <c r="C22">
        <f>'4_Liquiditaetsplanung'!C24</f>
        <v>28.665200000000027</v>
      </c>
      <c r="D22">
        <f>'4_Liquiditaetsplanung'!D24</f>
        <v>7.9652000000000385</v>
      </c>
    </row>
    <row r="23" spans="1:4" x14ac:dyDescent="0.35">
      <c r="A23" t="s">
        <v>118</v>
      </c>
      <c r="B23" t="str">
        <f>IF(B22&lt;0.1, "🔴 OVERDRAFT", "✅ OK")</f>
        <v>✅ OK</v>
      </c>
      <c r="C23" t="str">
        <f>IF(C22&lt;0.1, "🔴 OVERDRAFT", "✅ OK")</f>
        <v>✅ OK</v>
      </c>
      <c r="D23" t="str">
        <f>IF(D22&lt;0.1, "🔴 OVERDRAFT", "✅ OK")</f>
        <v>✅ OK</v>
      </c>
    </row>
  </sheetData>
  <conditionalFormatting sqref="B22:D22">
    <cfRule type="cellIs" dxfId="1" priority="1" stopIfTrue="1" operator="lessThan">
      <formula>0.1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stopIfTrue="1" operator="greaterThan" id="{00000000-000E-0000-0200-000002000000}">
            <xm:f>'1_Ist_Daten'!$B$5</xm:f>
            <x14:dxf>
              <font>
                <b/>
                <color rgb="FF000000"/>
              </font>
              <fill>
                <patternFill patternType="solid">
                  <fgColor rgb="FFFFFF00"/>
                  <bgColor rgb="FFFFFF00"/>
                </patternFill>
              </fill>
            </x14:dxf>
          </x14:cfRule>
          <xm:sqref>B5:D5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workbookViewId="0"/>
  </sheetViews>
  <sheetFormatPr baseColWidth="10" defaultColWidth="8.7265625" defaultRowHeight="14.5" x14ac:dyDescent="0.35"/>
  <cols>
    <col min="1" max="1" width="45" customWidth="1"/>
    <col min="2" max="7" width="25" customWidth="1"/>
  </cols>
  <sheetData>
    <row r="1" spans="1:7" x14ac:dyDescent="0.35">
      <c r="A1" s="1" t="s">
        <v>0</v>
      </c>
      <c r="B1" s="1" t="s">
        <v>94</v>
      </c>
      <c r="C1" s="1" t="s">
        <v>95</v>
      </c>
      <c r="D1" s="1" t="s">
        <v>96</v>
      </c>
      <c r="E1" s="1"/>
      <c r="F1" s="1"/>
      <c r="G1" s="1"/>
    </row>
    <row r="2" spans="1:7" x14ac:dyDescent="0.35">
      <c r="A2" s="1" t="s">
        <v>119</v>
      </c>
    </row>
    <row r="3" spans="1:7" x14ac:dyDescent="0.35">
      <c r="A3" t="s">
        <v>120</v>
      </c>
      <c r="B3">
        <f>'3_Szenario_Rechner'!B8 * 0.8</f>
        <v>108</v>
      </c>
      <c r="C3">
        <f>'3_Szenario_Rechner'!C8 * 0.8</f>
        <v>108</v>
      </c>
      <c r="D3">
        <f>'3_Szenario_Rechner'!D8 * 0.8</f>
        <v>108</v>
      </c>
    </row>
    <row r="4" spans="1:7" x14ac:dyDescent="0.35">
      <c r="A4" t="s">
        <v>121</v>
      </c>
      <c r="B4">
        <f>'1_Ist_Daten'!$B$3</f>
        <v>31.36</v>
      </c>
      <c r="C4">
        <f>'1_Ist_Daten'!$B$3</f>
        <v>31.36</v>
      </c>
      <c r="D4">
        <f>'1_Ist_Daten'!$B$3</f>
        <v>31.36</v>
      </c>
    </row>
    <row r="5" spans="1:7" x14ac:dyDescent="0.35">
      <c r="A5" t="s">
        <v>122</v>
      </c>
      <c r="B5">
        <f>'1_Ist_Daten'!$B$11</f>
        <v>0</v>
      </c>
      <c r="C5">
        <f>'1_Ist_Daten'!$B$11</f>
        <v>0</v>
      </c>
      <c r="D5">
        <f>'1_Ist_Daten'!$B$11</f>
        <v>0</v>
      </c>
    </row>
    <row r="6" spans="1:7" x14ac:dyDescent="0.35">
      <c r="A6" t="s">
        <v>123</v>
      </c>
      <c r="B6">
        <f>'3_Szenario_Rechner'!B12</f>
        <v>0</v>
      </c>
      <c r="C6">
        <f>'3_Szenario_Rechner'!C12</f>
        <v>0</v>
      </c>
      <c r="D6">
        <f>'3_Szenario_Rechner'!D12</f>
        <v>0</v>
      </c>
    </row>
    <row r="7" spans="1:7" x14ac:dyDescent="0.35">
      <c r="A7" t="s">
        <v>124</v>
      </c>
      <c r="B7">
        <f>'3_Szenario_Rechner'!B3</f>
        <v>15</v>
      </c>
      <c r="C7">
        <f>'3_Szenario_Rechner'!C3</f>
        <v>20</v>
      </c>
      <c r="D7">
        <f>'3_Szenario_Rechner'!D3</f>
        <v>10</v>
      </c>
    </row>
    <row r="8" spans="1:7" x14ac:dyDescent="0.35">
      <c r="A8" t="s">
        <v>125</v>
      </c>
      <c r="B8">
        <f>'3_Szenario_Rechner'!B4</f>
        <v>0</v>
      </c>
      <c r="C8">
        <f>'3_Szenario_Rechner'!C4</f>
        <v>10</v>
      </c>
      <c r="D8">
        <f>'3_Szenario_Rechner'!D4</f>
        <v>0</v>
      </c>
    </row>
    <row r="9" spans="1:7" x14ac:dyDescent="0.35">
      <c r="A9" t="s">
        <v>90</v>
      </c>
      <c r="B9">
        <f>'2_Team_Inputs'!$B$33</f>
        <v>0</v>
      </c>
      <c r="C9">
        <f>'2_Team_Inputs'!$B$33</f>
        <v>0</v>
      </c>
      <c r="D9">
        <f>'2_Team_Inputs'!$B$33</f>
        <v>0</v>
      </c>
    </row>
    <row r="10" spans="1:7" x14ac:dyDescent="0.35">
      <c r="A10" t="s">
        <v>126</v>
      </c>
      <c r="B10">
        <f>SUM(B3:B9)</f>
        <v>154.36000000000001</v>
      </c>
      <c r="C10">
        <f>SUM(C3:C9)</f>
        <v>169.36</v>
      </c>
      <c r="D10">
        <f>SUM(D3:D9)</f>
        <v>149.36000000000001</v>
      </c>
    </row>
    <row r="11" spans="1:7" x14ac:dyDescent="0.35">
      <c r="A11" s="1" t="s">
        <v>127</v>
      </c>
    </row>
    <row r="12" spans="1:7" x14ac:dyDescent="0.35">
      <c r="A12" t="s">
        <v>72</v>
      </c>
      <c r="B12">
        <f>'2_Team_Inputs'!$B$22</f>
        <v>50</v>
      </c>
      <c r="C12">
        <f>'2_Team_Inputs'!$B$22</f>
        <v>50</v>
      </c>
      <c r="D12">
        <f>'2_Team_Inputs'!$B$22</f>
        <v>50</v>
      </c>
    </row>
    <row r="13" spans="1:7" x14ac:dyDescent="0.35">
      <c r="A13" t="s">
        <v>128</v>
      </c>
      <c r="B13">
        <f>'2_Team_Inputs'!$G$20</f>
        <v>59.854799999999997</v>
      </c>
      <c r="C13">
        <f>'2_Team_Inputs'!$G$20</f>
        <v>59.854799999999997</v>
      </c>
      <c r="D13">
        <f>'2_Team_Inputs'!$G$20</f>
        <v>59.854799999999997</v>
      </c>
    </row>
    <row r="14" spans="1:7" x14ac:dyDescent="0.35">
      <c r="A14" t="s">
        <v>129</v>
      </c>
      <c r="B14">
        <f>SUM('2_Team_Inputs'!$B$24:$B$27)</f>
        <v>27.65</v>
      </c>
      <c r="C14">
        <f>SUM('2_Team_Inputs'!$B$24:$B$27)</f>
        <v>27.65</v>
      </c>
      <c r="D14">
        <f>SUM('2_Team_Inputs'!$B$24:$B$27)</f>
        <v>27.65</v>
      </c>
    </row>
    <row r="15" spans="1:7" x14ac:dyDescent="0.35">
      <c r="A15" t="s">
        <v>130</v>
      </c>
      <c r="B15">
        <f>'1_Ist_Daten'!$B$8 + '1_Ist_Daten'!$B$9</f>
        <v>12</v>
      </c>
      <c r="C15">
        <f>'1_Ist_Daten'!$B$8 + '1_Ist_Daten'!$B$9</f>
        <v>12</v>
      </c>
      <c r="D15">
        <f>'1_Ist_Daten'!$B$8 + '1_Ist_Daten'!$B$9</f>
        <v>12</v>
      </c>
    </row>
    <row r="16" spans="1:7" x14ac:dyDescent="0.35">
      <c r="A16" t="s">
        <v>131</v>
      </c>
      <c r="B16">
        <f>'2_Team_Inputs'!$B$30 + '2_Team_Inputs'!$B$31</f>
        <v>15</v>
      </c>
      <c r="C16">
        <f>'2_Team_Inputs'!$B$30 + '2_Team_Inputs'!$B$31</f>
        <v>15</v>
      </c>
      <c r="D16">
        <f>'2_Team_Inputs'!$B$30 + '2_Team_Inputs'!$B$31</f>
        <v>15</v>
      </c>
    </row>
    <row r="17" spans="1:4" x14ac:dyDescent="0.35">
      <c r="A17" t="s">
        <v>132</v>
      </c>
      <c r="B17">
        <f>'3_Szenario_Rechner'!B6</f>
        <v>0</v>
      </c>
      <c r="C17">
        <f>'3_Szenario_Rechner'!C6</f>
        <v>0</v>
      </c>
      <c r="D17">
        <f>'3_Szenario_Rechner'!D6</f>
        <v>0</v>
      </c>
    </row>
    <row r="18" spans="1:4" x14ac:dyDescent="0.35">
      <c r="A18" t="s">
        <v>133</v>
      </c>
      <c r="B18">
        <f>'3_Szenario_Rechner'!B5</f>
        <v>1</v>
      </c>
      <c r="C18">
        <f>'3_Szenario_Rechner'!C5</f>
        <v>0</v>
      </c>
      <c r="D18">
        <f>'3_Szenario_Rechner'!D5</f>
        <v>2</v>
      </c>
    </row>
    <row r="19" spans="1:4" x14ac:dyDescent="0.35">
      <c r="A19" t="s">
        <v>134</v>
      </c>
      <c r="B19">
        <f>'3_Szenario_Rechner'!B11</f>
        <v>3.29</v>
      </c>
      <c r="C19">
        <f>'3_Szenario_Rechner'!C11</f>
        <v>4.24</v>
      </c>
      <c r="D19">
        <f>'3_Szenario_Rechner'!D11</f>
        <v>2.9400000000000004</v>
      </c>
    </row>
    <row r="20" spans="1:4" x14ac:dyDescent="0.35">
      <c r="A20" t="s">
        <v>135</v>
      </c>
      <c r="B20">
        <f>'3_Szenario_Rechner'!B15</f>
        <v>0</v>
      </c>
      <c r="C20">
        <f>'3_Szenario_Rechner'!C15</f>
        <v>0</v>
      </c>
      <c r="D20">
        <f>'3_Szenario_Rechner'!D15</f>
        <v>0</v>
      </c>
    </row>
    <row r="21" spans="1:4" x14ac:dyDescent="0.35">
      <c r="A21" t="s">
        <v>136</v>
      </c>
      <c r="B21">
        <f>SUM(B12:B20)</f>
        <v>168.79479999999998</v>
      </c>
      <c r="C21">
        <f>SUM(C12:C20)</f>
        <v>168.7448</v>
      </c>
      <c r="D21">
        <f>SUM(D12:D20)</f>
        <v>169.44479999999999</v>
      </c>
    </row>
    <row r="22" spans="1:4" x14ac:dyDescent="0.35">
      <c r="A22" s="1" t="s">
        <v>137</v>
      </c>
    </row>
    <row r="23" spans="1:4" x14ac:dyDescent="0.35">
      <c r="A23" t="s">
        <v>138</v>
      </c>
      <c r="B23">
        <f>'1_Ist_Daten'!$B$2</f>
        <v>28.05</v>
      </c>
      <c r="C23">
        <f>'1_Ist_Daten'!$B$2</f>
        <v>28.05</v>
      </c>
      <c r="D23">
        <f>'1_Ist_Daten'!$B$2</f>
        <v>28.05</v>
      </c>
    </row>
    <row r="24" spans="1:4" x14ac:dyDescent="0.35">
      <c r="A24" t="s">
        <v>139</v>
      </c>
      <c r="B24">
        <f>B23 + B10 - B21</f>
        <v>13.615200000000044</v>
      </c>
      <c r="C24">
        <f>C23 + C10 - C21</f>
        <v>28.665200000000027</v>
      </c>
      <c r="D24">
        <f>D23 + D10 - D21</f>
        <v>7.9652000000000385</v>
      </c>
    </row>
  </sheetData>
  <conditionalFormatting sqref="B24:D24">
    <cfRule type="cellIs" dxfId="0" priority="1" stopIfTrue="1" operator="lessThan">
      <formula>0.1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1_Ist_Daten</vt:lpstr>
      <vt:lpstr>2_Team_Inputs</vt:lpstr>
      <vt:lpstr>3_Szenario_Rechner</vt:lpstr>
      <vt:lpstr>4_Liquiditaetsplanung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Bastian Kempe</cp:lastModifiedBy>
  <dcterms:created xsi:type="dcterms:W3CDTF">2026-04-13T12:43:08Z</dcterms:created>
  <dcterms:modified xsi:type="dcterms:W3CDTF">2026-04-13T12:43:57Z</dcterms:modified>
</cp:coreProperties>
</file>