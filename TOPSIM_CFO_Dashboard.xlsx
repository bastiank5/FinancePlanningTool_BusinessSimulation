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Ist_Daten" sheetId="1" state="visible" r:id="rId1"/>
    <sheet name="2_Team_Inputs" sheetId="2" state="visible" r:id="rId2"/>
    <sheet name="3_Szenario_Rechn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80808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Feld (Excel-Referenz)</t>
        </is>
      </c>
      <c r="B1" s="1" t="inlineStr">
        <is>
          <t>Periode 0</t>
        </is>
      </c>
      <c r="C1" s="1" t="inlineStr">
        <is>
          <t>Periode 1</t>
        </is>
      </c>
      <c r="D1" s="1" t="n"/>
    </row>
    <row r="2">
      <c r="A2" t="inlineStr">
        <is>
          <t>Kassenbestand (Start)</t>
        </is>
      </c>
      <c r="B2" t="n">
        <v>0.85</v>
      </c>
      <c r="C2" t="n">
        <v>28.05</v>
      </c>
    </row>
    <row r="3">
      <c r="A3" t="inlineStr">
        <is>
          <t>Eigenkapital</t>
        </is>
      </c>
      <c r="B3" t="n">
        <v>31.27</v>
      </c>
      <c r="C3" t="n">
        <v>35.25</v>
      </c>
    </row>
    <row r="4">
      <c r="A4" t="inlineStr">
        <is>
          <t>Gewinnvortrag</t>
        </is>
      </c>
      <c r="B4" t="n">
        <v>2</v>
      </c>
      <c r="C4" t="n">
        <v>5.27</v>
      </c>
    </row>
    <row r="5">
      <c r="A5" t="inlineStr">
        <is>
          <t>Pensionsrückstellungen</t>
        </is>
      </c>
      <c r="B5" t="n">
        <v>13.87</v>
      </c>
      <c r="C5" t="n">
        <v>15.95</v>
      </c>
    </row>
    <row r="6">
      <c r="A6" t="inlineStr">
        <is>
          <t>Geplante E-Steuer (%)</t>
        </is>
      </c>
      <c r="B6" t="n">
        <v>0.3</v>
      </c>
      <c r="C6" t="n">
        <v>0.3</v>
      </c>
    </row>
    <row r="7">
      <c r="A7" t="inlineStr">
        <is>
          <t>Zinssatz Langfristig (%)</t>
        </is>
      </c>
      <c r="B7" t="n">
        <v>0.06</v>
      </c>
      <c r="C7" t="n">
        <v>0.06</v>
      </c>
    </row>
    <row r="8">
      <c r="A8" t="inlineStr">
        <is>
          <t>Zinssatz Kurzfristig (%)</t>
        </is>
      </c>
      <c r="B8" t="n">
        <v>0.08</v>
      </c>
      <c r="C8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Feld</t>
        </is>
      </c>
      <c r="B1" s="1" t="inlineStr">
        <is>
          <t>Plan-Wert</t>
        </is>
      </c>
      <c r="C1" s="1" t="inlineStr">
        <is>
          <t>Einheit</t>
        </is>
      </c>
      <c r="D1" s="1" t="inlineStr">
        <is>
          <t>Kommilitonen fragen!</t>
        </is>
      </c>
    </row>
    <row r="2">
      <c r="A2" t="inlineStr">
        <is>
          <t>Geplante Absatzmenge</t>
        </is>
      </c>
      <c r="B2" t="n">
        <v>45000</v>
      </c>
      <c r="C2" t="inlineStr">
        <is>
          <t>Stück</t>
        </is>
      </c>
      <c r="D2" t="inlineStr">
        <is>
          <t>Vertrieb</t>
        </is>
      </c>
    </row>
    <row r="3">
      <c r="A3" t="inlineStr">
        <is>
          <t>Geplanter Preis</t>
        </is>
      </c>
      <c r="B3" t="n">
        <v>3000</v>
      </c>
      <c r="C3" t="inlineStr">
        <is>
          <t>EUR</t>
        </is>
      </c>
      <c r="D3" t="inlineStr">
        <is>
          <t>Vertrieb</t>
        </is>
      </c>
    </row>
    <row r="4">
      <c r="A4" t="inlineStr">
        <is>
          <t>--- KOSTEN ---</t>
        </is>
      </c>
      <c r="B4" t="inlineStr"/>
      <c r="C4" t="inlineStr"/>
      <c r="D4" t="inlineStr"/>
    </row>
    <row r="5">
      <c r="A5" t="inlineStr">
        <is>
          <t>Total Herstellkosten</t>
        </is>
      </c>
      <c r="B5" t="n">
        <v>90</v>
      </c>
      <c r="C5" t="inlineStr">
        <is>
          <t>MEUR</t>
        </is>
      </c>
      <c r="D5" t="inlineStr">
        <is>
          <t>Fertigung (inkl. Personal)</t>
        </is>
      </c>
    </row>
    <row r="6">
      <c r="A6" t="inlineStr">
        <is>
          <t>Total Verwaltungskosten</t>
        </is>
      </c>
      <c r="B6" t="n">
        <v>10</v>
      </c>
      <c r="C6" t="inlineStr">
        <is>
          <t>MEUR</t>
        </is>
      </c>
      <c r="D6" t="inlineStr">
        <is>
          <t>Verwaltung</t>
        </is>
      </c>
    </row>
    <row r="7">
      <c r="A7" t="inlineStr">
        <is>
          <t>Total Marketing/Vertrieb</t>
        </is>
      </c>
      <c r="B7" t="n">
        <v>15</v>
      </c>
      <c r="C7" t="inlineStr">
        <is>
          <t>MEUR</t>
        </is>
      </c>
      <c r="D7" t="inlineStr">
        <is>
          <t>Marketing/Vertrieb</t>
        </is>
      </c>
    </row>
    <row r="8">
      <c r="A8" t="inlineStr">
        <is>
          <t>--- INVESTITIONEN ---</t>
        </is>
      </c>
      <c r="B8" t="inlineStr"/>
      <c r="C8" t="inlineStr"/>
      <c r="D8" t="inlineStr"/>
    </row>
    <row r="9">
      <c r="A9" t="inlineStr">
        <is>
          <t>Abschreibungen Alt-Anlagen</t>
        </is>
      </c>
      <c r="B9" t="n">
        <v>6</v>
      </c>
      <c r="C9" t="inlineStr">
        <is>
          <t>MEUR</t>
        </is>
      </c>
      <c r="D9" t="inlineStr">
        <is>
          <t>Aus Anlagevermögen fortschreiben</t>
        </is>
      </c>
    </row>
    <row r="10">
      <c r="A10" t="inlineStr">
        <is>
          <t>Geplante Neuinvestition (Kaufpreis)</t>
        </is>
      </c>
      <c r="B10" t="n">
        <v>15</v>
      </c>
      <c r="C10" t="inlineStr">
        <is>
          <t>MEUR</t>
        </is>
      </c>
      <c r="D10" t="inlineStr">
        <is>
          <t>Voller Preis = Cash-Abfluss!</t>
        </is>
      </c>
    </row>
    <row r="11">
      <c r="A11" t="inlineStr">
        <is>
          <t>Geplante Neu-Abschreibung</t>
        </is>
      </c>
      <c r="B11" t="n">
        <v>1.5</v>
      </c>
      <c r="C11" t="inlineStr">
        <is>
          <t>MEUR</t>
        </is>
      </c>
      <c r="D11" t="inlineStr">
        <is>
          <t>Z.B. 10% des Kaufpreises</t>
        </is>
      </c>
    </row>
    <row r="12">
      <c r="A12" t="inlineStr">
        <is>
          <t>Veränderung Pensionsrückstellungen</t>
        </is>
      </c>
      <c r="B12" t="n">
        <v>2</v>
      </c>
      <c r="C12" t="inlineStr">
        <is>
          <t>MEUR</t>
        </is>
      </c>
      <c r="D12" t="inlineStr">
        <is>
          <t>+ Erhöhung schont Liquidität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Feld</t>
        </is>
      </c>
      <c r="B1" s="1" t="inlineStr">
        <is>
          <t>Szenario A (Defensiv)</t>
        </is>
      </c>
      <c r="C1" s="1" t="inlineStr">
        <is>
          <t>Szenario B (Aggressiv)</t>
        </is>
      </c>
      <c r="D1" s="1" t="inlineStr">
        <is>
          <t>Szenario C</t>
        </is>
      </c>
      <c r="E1" s="2" t="inlineStr">
        <is>
          <t>--- DYNAMISCHER IMPORTER (NICHT LÖSCHEN) ---</t>
        </is>
      </c>
      <c r="F1" s="2" t="n"/>
    </row>
    <row r="2">
      <c r="A2" s="1" t="inlineStr">
        <is>
          <t>--- 1: EINGABEN (CFO) ---</t>
        </is>
      </c>
      <c r="B2" t="inlineStr"/>
      <c r="C2" t="inlineStr"/>
      <c r="D2" t="inlineStr"/>
      <c r="E2" s="2" t="inlineStr">
        <is>
          <t>Aktuelle Kasse:</t>
        </is>
      </c>
      <c r="F2" s="2">
        <f>INDEX('1_Ist_Daten'!2:2, COUNTA('1_Ist_Daten'!2:2))</f>
        <v/>
      </c>
    </row>
    <row r="3">
      <c r="A3" t="inlineStr">
        <is>
          <t>Kurzfristiger Kredit (MEUR)</t>
        </is>
      </c>
      <c r="B3" t="n">
        <v>10</v>
      </c>
      <c r="C3" t="n">
        <v>15</v>
      </c>
      <c r="D3" t="n">
        <v>5</v>
      </c>
      <c r="E3" s="2" t="inlineStr">
        <is>
          <t>Aktuelles Eigenkapital:</t>
        </is>
      </c>
      <c r="F3" s="2">
        <f>INDEX('1_Ist_Daten'!3:3, COUNTA('1_Ist_Daten'!3:3))</f>
        <v/>
      </c>
    </row>
    <row r="4">
      <c r="A4" t="inlineStr">
        <is>
          <t>Langfristiger Kredit (MEUR)</t>
        </is>
      </c>
      <c r="B4" t="n">
        <v>15</v>
      </c>
      <c r="C4" t="n">
        <v>20</v>
      </c>
      <c r="D4" t="n">
        <v>10</v>
      </c>
      <c r="E4" s="2" t="inlineStr">
        <is>
          <t>Gewinnvortrag:</t>
        </is>
      </c>
      <c r="F4" s="2">
        <f>INDEX('1_Ist_Daten'!4:4, COUNTA('1_Ist_Daten'!4:4))</f>
        <v/>
      </c>
    </row>
    <row r="5">
      <c r="A5" t="inlineStr">
        <is>
          <t>Dividende (MEUR)</t>
        </is>
      </c>
      <c r="B5" t="n">
        <v>1</v>
      </c>
      <c r="C5" t="n">
        <v>0</v>
      </c>
      <c r="D5" t="n">
        <v>2</v>
      </c>
      <c r="E5" s="2" t="inlineStr">
        <is>
          <t>Pensionsrückstellungen:</t>
        </is>
      </c>
      <c r="F5" s="2">
        <f>INDEX('1_Ist_Daten'!5:5, COUNTA('1_Ist_Daten'!5:5))</f>
        <v/>
      </c>
    </row>
    <row r="6">
      <c r="A6" s="1" t="inlineStr">
        <is>
          <t>--- 2: BERECHNUNG GEWINN ---</t>
        </is>
      </c>
      <c r="B6" t="inlineStr"/>
      <c r="C6" t="inlineStr"/>
      <c r="D6" t="inlineStr"/>
      <c r="E6" s="2" t="inlineStr">
        <is>
          <t>Steuersatz:</t>
        </is>
      </c>
      <c r="F6" s="2">
        <f>INDEX('1_Ist_Daten'!6:6, COUNTA('1_Ist_Daten'!6:6))</f>
        <v/>
      </c>
    </row>
    <row r="7">
      <c r="A7" t="inlineStr">
        <is>
          <t>Plan-Umsatz</t>
        </is>
      </c>
      <c r="B7">
        <f>'2_Team_Inputs'!B2*'2_Team_Inputs'!B3/1000000</f>
        <v/>
      </c>
      <c r="C7">
        <f>'2_Team_Inputs'!B2*'2_Team_Inputs'!B3/1000000</f>
        <v/>
      </c>
      <c r="D7">
        <f>'2_Team_Inputs'!B2*'2_Team_Inputs'!B3/1000000</f>
        <v/>
      </c>
      <c r="E7" s="2" t="inlineStr">
        <is>
          <t>Zinssatz Langfristig:</t>
        </is>
      </c>
      <c r="F7" s="2">
        <f>INDEX('1_Ist_Daten'!7:7, COUNTA('1_Ist_Daten'!7:7))</f>
        <v/>
      </c>
    </row>
    <row r="8">
      <c r="A8" t="inlineStr">
        <is>
          <t>Plan-EBIT</t>
        </is>
      </c>
      <c r="B8">
        <f>B7-'2_Team_Inputs'!B5-'2_Team_Inputs'!B6-'2_Team_Inputs'!B7-'2_Team_Inputs'!B9-'2_Team_Inputs'!B11</f>
        <v/>
      </c>
      <c r="C8">
        <f>C7-'2_Team_Inputs'!B5-'2_Team_Inputs'!B6-'2_Team_Inputs'!B7-'2_Team_Inputs'!B9-'2_Team_Inputs'!B11</f>
        <v/>
      </c>
      <c r="D8">
        <f>D7-'2_Team_Inputs'!B5-'2_Team_Inputs'!B6-'2_Team_Inputs'!B7-'2_Team_Inputs'!B9-'2_Team_Inputs'!B11</f>
        <v/>
      </c>
      <c r="E8" s="2" t="inlineStr">
        <is>
          <t>Zinssatz Kurzfristig:</t>
        </is>
      </c>
      <c r="F8" s="2">
        <f>INDEX('1_Ist_Daten'!8:8, COUNTA('1_Ist_Daten'!8:8))</f>
        <v/>
      </c>
    </row>
    <row r="9">
      <c r="A9" t="inlineStr">
        <is>
          <t>Plan-Zinsaufwand</t>
        </is>
      </c>
      <c r="B9">
        <f>(B3*F8)+(B4*F7)</f>
        <v/>
      </c>
      <c r="C9">
        <f>(C3*F8)+(C4*F7)</f>
        <v/>
      </c>
      <c r="D9">
        <f>(D3*F8)+(D4*F7)</f>
        <v/>
      </c>
    </row>
    <row r="10">
      <c r="A10" t="inlineStr">
        <is>
          <t>Plan-EBT (Ergebnis vor Steuern)</t>
        </is>
      </c>
      <c r="B10">
        <f>B8-B9</f>
        <v/>
      </c>
      <c r="C10">
        <f>C8-C9</f>
        <v/>
      </c>
      <c r="D10">
        <f>D8-D9</f>
        <v/>
      </c>
    </row>
    <row r="11">
      <c r="A11" t="inlineStr">
        <is>
          <t>Plan-Steuern</t>
        </is>
      </c>
      <c r="B11">
        <f>IF(B10&gt;0, B10*F6, 0)</f>
        <v/>
      </c>
      <c r="C11">
        <f>IF(C10&gt;0, C10*F6, 0)</f>
        <v/>
      </c>
      <c r="D11">
        <f>IF(D10&gt;0, D10*F6, 0)</f>
        <v/>
      </c>
    </row>
    <row r="12">
      <c r="A12" t="inlineStr">
        <is>
          <t>Plan-Jahresüberschuss</t>
        </is>
      </c>
      <c r="B12">
        <f>B10-B11</f>
        <v/>
      </c>
      <c r="C12">
        <f>C10-C11</f>
        <v/>
      </c>
      <c r="D12">
        <f>D10-D11</f>
        <v/>
      </c>
    </row>
    <row r="13">
      <c r="A13" s="1" t="inlineStr">
        <is>
          <t>--- 3: TOPSIM ZIELEINGABEN ---</t>
        </is>
      </c>
      <c r="B13" t="inlineStr"/>
      <c r="C13" t="inlineStr"/>
      <c r="D13" t="inlineStr"/>
    </row>
    <row r="14">
      <c r="A14" t="inlineStr">
        <is>
          <t>Plan-Eigenkapital</t>
        </is>
      </c>
      <c r="B14">
        <f>F3+B12-B5</f>
        <v/>
      </c>
      <c r="C14">
        <f>F3+C12-C5</f>
        <v/>
      </c>
      <c r="D14">
        <f>F3+D12-D5</f>
        <v/>
      </c>
    </row>
    <row r="15">
      <c r="A15" t="inlineStr">
        <is>
          <t>Plan-EKR (%)</t>
        </is>
      </c>
      <c r="B15">
        <f>(B12/B14)*100</f>
        <v/>
      </c>
      <c r="C15">
        <f>(C12/C14)*100</f>
        <v/>
      </c>
      <c r="D15">
        <f>(D12/D14)*100</f>
        <v/>
      </c>
    </row>
    <row r="16">
      <c r="A16" t="inlineStr">
        <is>
          <t>Plan-Operativer Cashflow (MEUR)</t>
        </is>
      </c>
      <c r="B16">
        <f>B12+'2_Team_Inputs'!B9+'2_Team_Inputs'!B11+'2_Team_Inputs'!B12</f>
        <v/>
      </c>
      <c r="C16">
        <f>C12+'2_Team_Inputs'!B9+'2_Team_Inputs'!B11+'2_Team_Inputs'!B12</f>
        <v/>
      </c>
      <c r="D16">
        <f>D12+'2_Team_Inputs'!B9+'2_Team_Inputs'!B11+'2_Team_Inputs'!B12</f>
        <v/>
      </c>
    </row>
    <row r="17">
      <c r="A17" s="1" t="inlineStr">
        <is>
          <t>--- 4: TOPSIM FATAL CHECK ---</t>
        </is>
      </c>
      <c r="B17" t="inlineStr"/>
      <c r="C17" t="inlineStr"/>
      <c r="D17" t="inlineStr"/>
    </row>
    <row r="18">
      <c r="A18" t="inlineStr">
        <is>
          <t>Kassenbestand ENDE (&gt;0!)</t>
        </is>
      </c>
      <c r="B18">
        <f>F2+B16+B3+B4-B5-'2_Team_Inputs'!B10</f>
        <v/>
      </c>
      <c r="C18">
        <f>F2+C16+C3+C4-C5-'2_Team_Inputs'!B10</f>
        <v/>
      </c>
      <c r="D18">
        <f>F2+D16+D3+D4-D5-'2_Team_Inputs'!B10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2026-03-30T21:42:17Z</dcterms:created>
  <dcterms:modified xsi:type="dcterms:W3CDTF">2026-03-30T21:42:17Z</dcterms:modified>
</cp:coreProperties>
</file>