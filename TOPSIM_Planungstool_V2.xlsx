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SIM Pla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EBF1DE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25" customWidth="1" min="3" max="3"/>
  </cols>
  <sheetData>
    <row r="1">
      <c r="A1" s="1" t="inlineStr">
        <is>
          <t>Position</t>
        </is>
      </c>
      <c r="B1" s="1" t="inlineStr">
        <is>
          <t>Szenario 1 (Planung)</t>
        </is>
      </c>
      <c r="C1" s="1" t="inlineStr">
        <is>
          <t>Szenario 2 (Alternativ)</t>
        </is>
      </c>
    </row>
    <row r="2">
      <c r="A2" s="2" t="inlineStr">
        <is>
          <t>1. PLAN-GEWINN- UND VERLUSTRECHNUNG</t>
        </is>
      </c>
      <c r="B2" s="2" t="inlineStr"/>
      <c r="C2" s="2" t="inlineStr"/>
    </row>
    <row r="3">
      <c r="A3" t="inlineStr">
        <is>
          <t>Geplante Absatzmenge (Stück)</t>
        </is>
      </c>
      <c r="B3" s="3" t="n">
        <v>45000</v>
      </c>
      <c r="C3" s="3" t="n">
        <v>45000</v>
      </c>
    </row>
    <row r="4">
      <c r="A4" t="inlineStr">
        <is>
          <t>Geplanter Preis (EUR/Stück)</t>
        </is>
      </c>
      <c r="B4" s="3" t="n">
        <v>3200</v>
      </c>
      <c r="C4" s="3" t="n">
        <v>3200</v>
      </c>
    </row>
    <row r="5">
      <c r="A5" t="inlineStr">
        <is>
          <t>Umsatzerlöse (MEUR)</t>
        </is>
      </c>
      <c r="B5" s="4">
        <f>B3*B4/1000000</f>
        <v/>
      </c>
      <c r="C5" s="4">
        <f>C3*C4/1000000</f>
        <v/>
      </c>
    </row>
    <row r="6">
      <c r="A6" t="inlineStr">
        <is>
          <t>Geplante Herstellkosten (MEUR)</t>
        </is>
      </c>
      <c r="B6" s="3" t="n">
        <v>-95</v>
      </c>
      <c r="C6" s="3" t="n">
        <v>-95</v>
      </c>
    </row>
    <row r="7">
      <c r="A7" t="inlineStr">
        <is>
          <t>Geplante Personal- &amp; Verwaltungskosten (MEUR)</t>
        </is>
      </c>
      <c r="B7" s="3" t="n">
        <v>-30</v>
      </c>
      <c r="C7" s="3" t="n">
        <v>-30</v>
      </c>
    </row>
    <row r="8">
      <c r="A8" t="inlineStr">
        <is>
          <t>Geplante Marketing- &amp; Vertriebskosten (MEUR)</t>
        </is>
      </c>
      <c r="B8" s="3" t="n">
        <v>-20</v>
      </c>
      <c r="C8" s="3" t="n">
        <v>-20</v>
      </c>
    </row>
    <row r="9">
      <c r="A9" t="inlineStr">
        <is>
          <t>Abschreibungen Anlagen (Alt + Neu) (MEUR)</t>
        </is>
      </c>
      <c r="B9" s="3" t="n">
        <v>-9.25</v>
      </c>
      <c r="C9" s="3" t="n">
        <v>-9.25</v>
      </c>
    </row>
    <row r="10">
      <c r="A10" s="2" t="inlineStr">
        <is>
          <t>PLAN-EBIT (MEUR)</t>
        </is>
      </c>
      <c r="B10" s="5">
        <f>SUM(B5:B9)</f>
        <v/>
      </c>
      <c r="C10" s="5">
        <f>SUM(C5:C9)</f>
        <v/>
      </c>
    </row>
    <row r="11">
      <c r="A11" t="inlineStr">
        <is>
          <t>Zinssatz Langfristig (ZL) in %</t>
        </is>
      </c>
      <c r="B11" s="3" t="n">
        <v>5</v>
      </c>
      <c r="C11" s="3" t="n">
        <v>5</v>
      </c>
    </row>
    <row r="12">
      <c r="A12" t="inlineStr">
        <is>
          <t>Zinssatz Kurzfristig (ZK) in %</t>
        </is>
      </c>
      <c r="B12" s="3" t="n">
        <v>8</v>
      </c>
      <c r="C12" s="3" t="n">
        <v>8</v>
      </c>
    </row>
    <row r="13">
      <c r="A13" t="inlineStr">
        <is>
          <t>Langfristige Kredite (Alt + Neu) (MEUR)</t>
        </is>
      </c>
      <c r="B13" s="3" t="n">
        <v>25.5</v>
      </c>
      <c r="C13" s="3" t="n">
        <v>25.5</v>
      </c>
    </row>
    <row r="14">
      <c r="A14" t="inlineStr">
        <is>
          <t>Kurzfristige Kredite (MEUR)</t>
        </is>
      </c>
      <c r="B14" s="3" t="n">
        <v>10</v>
      </c>
      <c r="C14" s="3" t="n">
        <v>15</v>
      </c>
    </row>
    <row r="15">
      <c r="A15" s="2" t="inlineStr">
        <is>
          <t>Plan-Zinsaufwand (MEUR)</t>
        </is>
      </c>
      <c r="B15" s="5">
        <f>-(B13*(B11/100) + B14*(B12/100))</f>
        <v/>
      </c>
      <c r="C15" s="5">
        <f>-(C13*(C11/100) + C14*(C12/100))</f>
        <v/>
      </c>
    </row>
    <row r="16">
      <c r="A16" s="2" t="inlineStr">
        <is>
          <t>PLAN-EBT (Ergebnis vor Steuern) (MEUR)</t>
        </is>
      </c>
      <c r="B16" s="5">
        <f>B10+B15</f>
        <v/>
      </c>
      <c r="C16" s="5">
        <f>C10+C15</f>
        <v/>
      </c>
    </row>
    <row r="17">
      <c r="A17" t="inlineStr">
        <is>
          <t>Verlustvortrag aus Vorperioden (MEUR, positiv eintragen)</t>
        </is>
      </c>
      <c r="B17" s="3" t="n">
        <v>0</v>
      </c>
      <c r="C17" s="3" t="n">
        <v>0</v>
      </c>
    </row>
    <row r="18">
      <c r="A18" t="inlineStr">
        <is>
          <t>Steuerpflichtiges Ergebnis (MEUR)</t>
        </is>
      </c>
      <c r="B18" s="4">
        <f>MAX(0, B16-B17)</f>
        <v/>
      </c>
      <c r="C18" s="4">
        <f>MAX(0, C16-C17)</f>
        <v/>
      </c>
    </row>
    <row r="19">
      <c r="A19" t="inlineStr">
        <is>
          <t>Steuersatz in %</t>
        </is>
      </c>
      <c r="B19" s="3" t="n">
        <v>30</v>
      </c>
      <c r="C19" s="3" t="n">
        <v>30</v>
      </c>
    </row>
    <row r="20">
      <c r="A20" s="2" t="inlineStr">
        <is>
          <t>Geplante Ertragssteuern (MEUR)</t>
        </is>
      </c>
      <c r="B20" s="5">
        <f>-B18*(B19/100)</f>
        <v/>
      </c>
      <c r="C20" s="5">
        <f>-C18*(C19/100)</f>
        <v/>
      </c>
    </row>
    <row r="21">
      <c r="A21" s="2" t="inlineStr">
        <is>
          <t>PLAN-JAHRESÜBERSCHUSS (P-JÜ) (MEUR)</t>
        </is>
      </c>
      <c r="B21" s="5">
        <f>B16+B20</f>
        <v/>
      </c>
      <c r="C21" s="5">
        <f>C16+C20</f>
        <v/>
      </c>
    </row>
    <row r="23">
      <c r="A23" s="2" t="inlineStr">
        <is>
          <t>2. PLAN-EIGENKAPITAL &amp; EKR</t>
        </is>
      </c>
      <c r="B23" s="2" t="inlineStr"/>
      <c r="C23" s="2" t="inlineStr"/>
    </row>
    <row r="24">
      <c r="A24" t="inlineStr">
        <is>
          <t>Eigenkapital Vorperiode (MEUR)</t>
        </is>
      </c>
      <c r="B24" s="3" t="n">
        <v>43.02</v>
      </c>
      <c r="C24" s="3" t="n">
        <v>43.02</v>
      </c>
    </row>
    <row r="25">
      <c r="A25" t="inlineStr">
        <is>
          <t>Beschlossene Dividende (MEUR)</t>
        </is>
      </c>
      <c r="B25" s="3" t="n">
        <v>-1</v>
      </c>
      <c r="C25" s="3" t="n">
        <v>-1</v>
      </c>
    </row>
    <row r="26">
      <c r="A26" s="2" t="inlineStr">
        <is>
          <t>Plan-Eigenkapital Ende Periode (MEUR)</t>
        </is>
      </c>
      <c r="B26" s="5">
        <f>B24+B25+B21</f>
        <v/>
      </c>
      <c r="C26" s="5">
        <f>C24+C25+C21</f>
        <v/>
      </c>
    </row>
    <row r="27">
      <c r="A27" s="2" t="inlineStr">
        <is>
          <t>GEPLANTE EIGENKAPITALRENDITE (EKR) in %</t>
        </is>
      </c>
      <c r="B27" s="5">
        <f>(B21/B26)*100</f>
        <v/>
      </c>
      <c r="C27" s="5">
        <f>(C21/C26)*100</f>
        <v/>
      </c>
    </row>
    <row r="29">
      <c r="A29" t="inlineStr">
        <is>
          <t>3. OPERATIVER CASHFLOW</t>
        </is>
      </c>
      <c r="B29" t="inlineStr"/>
      <c r="C29" t="inlineStr"/>
    </row>
    <row r="30">
      <c r="A30" s="2" t="inlineStr">
        <is>
          <t>Plan-Jahresüberschuss (MEUR)</t>
        </is>
      </c>
      <c r="B30" s="5">
        <f>B21</f>
        <v/>
      </c>
      <c r="C30" s="5">
        <f>C21</f>
        <v/>
      </c>
    </row>
    <row r="31">
      <c r="A31" t="inlineStr">
        <is>
          <t>Zuzüglich Gesamtabschreibungen (MEUR)</t>
        </is>
      </c>
      <c r="B31" s="4">
        <f>-B9</f>
        <v/>
      </c>
      <c r="C31" s="4">
        <f>-C9</f>
        <v/>
      </c>
    </row>
    <row r="32">
      <c r="A32" t="inlineStr">
        <is>
          <t>Veränderung langfr. Rückstellungen (MEUR)</t>
        </is>
      </c>
      <c r="B32" s="3" t="n">
        <v>2</v>
      </c>
      <c r="C32" s="3" t="n">
        <v>2</v>
      </c>
    </row>
    <row r="33">
      <c r="A33" t="inlineStr">
        <is>
          <t>Traditioneller Cashflow (MEUR)</t>
        </is>
      </c>
      <c r="B33" s="4">
        <f>B30+B31+B32</f>
        <v/>
      </c>
      <c r="C33" s="4">
        <f>C30+C31+C32</f>
        <v/>
      </c>
    </row>
    <row r="34">
      <c r="A34" t="inlineStr">
        <is>
          <t>Veränderung Forderungen (Working Capital) (MEUR)</t>
        </is>
      </c>
      <c r="B34" s="3" t="n">
        <v>-3</v>
      </c>
      <c r="C34" s="3" t="n">
        <v>-3</v>
      </c>
    </row>
    <row r="35">
      <c r="A35" t="inlineStr">
        <is>
          <t>Veränderung Vorräte (Working Capital) (MEUR)</t>
        </is>
      </c>
      <c r="B35" s="3" t="n">
        <v>1</v>
      </c>
      <c r="C35" s="3" t="n">
        <v>1</v>
      </c>
    </row>
    <row r="36">
      <c r="A36" s="2" t="inlineStr">
        <is>
          <t>GEPLANTER OPERATIVER CASHFLOW (MEUR)</t>
        </is>
      </c>
      <c r="B36" s="5">
        <f>B33+B34+B35</f>
        <v/>
      </c>
      <c r="C36" s="5">
        <f>C33+C34+C35</f>
        <v/>
      </c>
    </row>
    <row r="39">
      <c r="A39" s="2" t="inlineStr">
        <is>
          <t>Legende:</t>
        </is>
      </c>
    </row>
    <row r="40">
      <c r="A40" s="3" t="inlineStr">
        <is>
          <t>Grüne Zellen = Eigene Planwerte / Handbuchwerte</t>
        </is>
      </c>
    </row>
    <row r="41">
      <c r="A41" s="4" t="inlineStr">
        <is>
          <t>Blaue Zellen = Automatische Berechnung (Formeln)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2026-04-15T18:25:57Z</dcterms:created>
  <dcterms:modified xmlns:dcterms="http://purl.org/dc/terms/" xmlns:xsi="http://www.w3.org/2001/XMLSchema-instance" xsi:type="dcterms:W3CDTF">2026-04-15T18:25:57Z</dcterms:modified>
</cp:coreProperties>
</file>