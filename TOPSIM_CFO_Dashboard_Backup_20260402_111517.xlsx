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Ist_Daten" sheetId="1" state="visible" r:id="rId1"/>
    <sheet name="2_Team_Inputs" sheetId="2" state="visible" r:id="rId2"/>
    <sheet name="3_Szenario_Rechn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ont>
        <b val="1"/>
        <color rgb="00FFFFFF"/>
      </font>
      <fill>
        <patternFill patternType="solid">
          <fgColor rgb="00FF0000"/>
          <bgColor rgb="00FF00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(Aus letzter Excel/Berichten)</t>
        </is>
      </c>
    </row>
    <row r="2">
      <c r="A2" t="inlineStr">
        <is>
          <t>Kassenbestand (Start Periode)</t>
        </is>
      </c>
      <c r="B2" t="n">
        <v>28.05</v>
      </c>
      <c r="C2" t="inlineStr">
        <is>
          <t>MEUR</t>
        </is>
      </c>
      <c r="D2" t="inlineStr">
        <is>
          <t>Aus Bilanz Aktiva</t>
        </is>
      </c>
    </row>
    <row r="3">
      <c r="A3" t="inlineStr">
        <is>
          <t>Eigenkapital</t>
        </is>
      </c>
      <c r="B3" t="n">
        <v>35.25</v>
      </c>
      <c r="C3" t="inlineStr">
        <is>
          <t>MEUR</t>
        </is>
      </c>
      <c r="D3" t="inlineStr">
        <is>
          <t>Aus Bilanz Passiva</t>
        </is>
      </c>
    </row>
    <row r="4">
      <c r="A4" t="inlineStr">
        <is>
          <t>Gewinnvortrag</t>
        </is>
      </c>
      <c r="B4" t="n">
        <v>5.27</v>
      </c>
      <c r="C4" t="inlineStr">
        <is>
          <t>MEUR</t>
        </is>
      </c>
      <c r="D4" t="inlineStr">
        <is>
          <t>Maximal mögliche Dividende</t>
        </is>
      </c>
    </row>
    <row r="5">
      <c r="A5" t="inlineStr">
        <is>
          <t>Steuerlicher Verlustvortrag</t>
        </is>
      </c>
      <c r="B5" t="n">
        <v>0</v>
      </c>
      <c r="C5" t="inlineStr">
        <is>
          <t>MEUR</t>
        </is>
      </c>
      <c r="D5" t="inlineStr">
        <is>
          <t>Vorjahresverlust (vermindert Steuern)</t>
        </is>
      </c>
    </row>
    <row r="6">
      <c r="A6" t="inlineStr">
        <is>
          <t>Pensionsrückstellungen</t>
        </is>
      </c>
      <c r="B6" t="n">
        <v>15.95</v>
      </c>
      <c r="C6" t="inlineStr">
        <is>
          <t>MEUR</t>
        </is>
      </c>
      <c r="D6" t="inlineStr">
        <is>
          <t>Passiva</t>
        </is>
      </c>
    </row>
    <row r="7">
      <c r="A7" t="inlineStr">
        <is>
          <t>Bestehende Kurzfristkredite (Alt)</t>
        </is>
      </c>
      <c r="B7" t="n">
        <v>12</v>
      </c>
      <c r="C7" t="inlineStr">
        <is>
          <t>MEUR</t>
        </is>
      </c>
      <c r="D7" t="inlineStr">
        <is>
          <t>Werden auto-getilgt (fließen zwingend ab!)</t>
        </is>
      </c>
    </row>
    <row r="8">
      <c r="A8" t="inlineStr">
        <is>
          <t>Bestehende Langfristkredite (Alt)</t>
        </is>
      </c>
      <c r="B8" t="n">
        <v>20</v>
      </c>
      <c r="C8" t="inlineStr">
        <is>
          <t>MEUR</t>
        </is>
      </c>
      <c r="D8" t="inlineStr">
        <is>
          <t>Nur für Plan-Zinsen wichtig</t>
        </is>
      </c>
    </row>
    <row r="9">
      <c r="A9" t="inlineStr">
        <is>
          <t>Geplante E-Steuer (%)</t>
        </is>
      </c>
      <c r="B9" t="n">
        <v>0.45</v>
      </c>
      <c r="C9" t="inlineStr">
        <is>
          <t>%</t>
        </is>
      </c>
      <c r="D9" t="inlineStr">
        <is>
          <t>Im Handbuch S.33 klar auf 45% festgelegt</t>
        </is>
      </c>
    </row>
    <row r="10">
      <c r="A10" t="inlineStr">
        <is>
          <t>Zinssatz Langfristig (%)</t>
        </is>
      </c>
      <c r="B10" t="n">
        <v>0.07000000000000001</v>
      </c>
      <c r="C10" t="inlineStr">
        <is>
          <t>%</t>
        </is>
      </c>
      <c r="D10" t="inlineStr">
        <is>
          <t>Bsp: 7% aus Handbuch S.31 / Per.0</t>
        </is>
      </c>
    </row>
    <row r="11">
      <c r="A11" t="inlineStr">
        <is>
          <t>Zinssatz Kurzfristig (%)</t>
        </is>
      </c>
      <c r="B11" t="n">
        <v>0.08</v>
      </c>
      <c r="C11" t="inlineStr">
        <is>
          <t>%</t>
        </is>
      </c>
      <c r="D11" t="inlineStr">
        <is>
          <t>Bsp: 8% aus Berichten / Per.0</t>
        </is>
      </c>
    </row>
    <row r="12">
      <c r="A12" t="inlineStr">
        <is>
          <t>Zinssatz Überziehen (%)</t>
        </is>
      </c>
      <c r="B12" t="n">
        <v>0.13</v>
      </c>
      <c r="C12" t="inlineStr">
        <is>
          <t>%</t>
        </is>
      </c>
      <c r="D12" t="inlineStr">
        <is>
          <t>13% Strafzins (Handbuch)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Wert</t>
        </is>
      </c>
      <c r="C1" s="1" t="inlineStr">
        <is>
          <t>Einheit</t>
        </is>
      </c>
      <c r="D1" t="inlineStr">
        <is>
          <t>Hinweis (Vom Team erfragen)</t>
        </is>
      </c>
    </row>
    <row r="2">
      <c r="A2" t="inlineStr">
        <is>
          <t>Geplante Absatzmenge</t>
        </is>
      </c>
      <c r="B2" t="n">
        <v>45000</v>
      </c>
      <c r="C2" t="inlineStr">
        <is>
          <t>Stück</t>
        </is>
      </c>
      <c r="D2" t="inlineStr">
        <is>
          <t>Planzahl Vertrieb</t>
        </is>
      </c>
    </row>
    <row r="3">
      <c r="A3" t="inlineStr">
        <is>
          <t>Geplanter Preis</t>
        </is>
      </c>
      <c r="B3" t="n">
        <v>3000</v>
      </c>
      <c r="C3" t="inlineStr">
        <is>
          <t>EUR</t>
        </is>
      </c>
      <c r="D3" t="inlineStr">
        <is>
          <t>Planzahl Vertrieb</t>
        </is>
      </c>
    </row>
    <row r="4">
      <c r="A4" t="inlineStr">
        <is>
          <t>--- KERNAUSGABEN ---</t>
        </is>
      </c>
      <c r="B4" t="inlineStr"/>
      <c r="C4" t="inlineStr"/>
      <c r="D4" t="inlineStr"/>
    </row>
    <row r="5">
      <c r="A5" t="inlineStr">
        <is>
          <t>Total Herstellkosten</t>
        </is>
      </c>
      <c r="B5" t="n">
        <v>90</v>
      </c>
      <c r="C5" t="inlineStr">
        <is>
          <t>MEUR</t>
        </is>
      </c>
      <c r="D5" t="inlineStr">
        <is>
          <t>inkl. Personal in Fertigung</t>
        </is>
      </c>
    </row>
    <row r="6">
      <c r="A6" t="inlineStr">
        <is>
          <t>Total Verwaltungskosten</t>
        </is>
      </c>
      <c r="B6" t="n">
        <v>10</v>
      </c>
      <c r="C6" t="inlineStr">
        <is>
          <t>MEUR</t>
        </is>
      </c>
      <c r="D6" t="inlineStr"/>
    </row>
    <row r="7">
      <c r="A7" t="inlineStr">
        <is>
          <t>Total Marketing/Vertrieb</t>
        </is>
      </c>
      <c r="B7" t="n">
        <v>15</v>
      </c>
      <c r="C7" t="inlineStr">
        <is>
          <t>MEUR</t>
        </is>
      </c>
      <c r="D7" t="inlineStr"/>
    </row>
    <row r="8">
      <c r="A8" t="inlineStr">
        <is>
          <t>Forschung &amp; Entwicklung (F&amp;E)</t>
        </is>
      </c>
      <c r="B8" t="n">
        <v>2.5</v>
      </c>
      <c r="C8" t="inlineStr">
        <is>
          <t>MEUR</t>
        </is>
      </c>
      <c r="D8" t="inlineStr">
        <is>
          <t>Ökologie, Technologie, etc.</t>
        </is>
      </c>
    </row>
    <row r="9">
      <c r="A9" t="inlineStr">
        <is>
          <t>Marktforschung</t>
        </is>
      </c>
      <c r="B9" t="n">
        <v>0.15</v>
      </c>
      <c r="C9" t="inlineStr">
        <is>
          <t>MEUR</t>
        </is>
      </c>
      <c r="D9" t="inlineStr">
        <is>
          <t>Kosten für Berichte / Analysen</t>
        </is>
      </c>
    </row>
    <row r="10">
      <c r="A10" t="inlineStr">
        <is>
          <t>--- INVESTITIONEN ---</t>
        </is>
      </c>
      <c r="B10" t="inlineStr"/>
      <c r="C10" t="inlineStr"/>
      <c r="D10" t="inlineStr"/>
    </row>
    <row r="11">
      <c r="A11" t="inlineStr">
        <is>
          <t>Freiwillige Tilgung Langfristkr.</t>
        </is>
      </c>
      <c r="B11" t="n">
        <v>0</v>
      </c>
      <c r="C11" t="inlineStr">
        <is>
          <t>MEUR</t>
        </is>
      </c>
      <c r="D11" t="inlineStr">
        <is>
          <t>Cash-Out! Kurzfrist wird automatisch getilgt.</t>
        </is>
      </c>
    </row>
    <row r="12">
      <c r="A12" t="inlineStr">
        <is>
          <t>Abschreibungen Alt-Anlagen</t>
        </is>
      </c>
      <c r="B12" t="n">
        <v>6</v>
      </c>
      <c r="C12" t="inlineStr">
        <is>
          <t>MEUR</t>
        </is>
      </c>
      <c r="D12" t="inlineStr">
        <is>
          <t>inklusive 0.25 MEUR fixe Gebäude-AfA</t>
        </is>
      </c>
    </row>
    <row r="13">
      <c r="A13" t="inlineStr">
        <is>
          <t>Geplante Neuinvestition</t>
        </is>
      </c>
      <c r="B13" t="n">
        <v>15</v>
      </c>
      <c r="C13" t="inlineStr">
        <is>
          <t>MEUR</t>
        </is>
      </c>
      <c r="D13" t="inlineStr">
        <is>
          <t>Totaler Kaufpreis Anlage - Cash Out!</t>
        </is>
      </c>
    </row>
    <row r="14">
      <c r="A14" t="inlineStr">
        <is>
          <t>Geplante Neu-Abschreibung</t>
        </is>
      </c>
      <c r="B14" t="n">
        <v>1.5</v>
      </c>
      <c r="C14" t="inlineStr">
        <is>
          <t>MEUR</t>
        </is>
      </c>
      <c r="D14" t="inlineStr">
        <is>
          <t>Z.B. 10% Lineare Abschreibung</t>
        </is>
      </c>
    </row>
    <row r="15">
      <c r="A15" t="inlineStr">
        <is>
          <t>Veränderung Pensionsrückstellungen</t>
        </is>
      </c>
      <c r="B15" t="n">
        <v>2</v>
      </c>
      <c r="C15" t="inlineStr">
        <is>
          <t>MEUR</t>
        </is>
      </c>
      <c r="D15" t="inlineStr">
        <is>
          <t>Positiv = Cash-plus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25" customWidth="1" min="3" max="3"/>
  </cols>
  <sheetData>
    <row r="1">
      <c r="A1" s="1" t="inlineStr">
        <is>
          <t>Feld</t>
        </is>
      </c>
      <c r="B1" s="1" t="inlineStr">
        <is>
          <t>Szenario A (Defensiv)</t>
        </is>
      </c>
      <c r="C1" s="1" t="inlineStr">
        <is>
          <t>Szenario B (Aggressiv)</t>
        </is>
      </c>
      <c r="D1" t="inlineStr">
        <is>
          <t>Szenario C</t>
        </is>
      </c>
    </row>
    <row r="2">
      <c r="A2" s="1" t="inlineStr">
        <is>
          <t>--- 1: EINGABEN (DEINE CFO ENTSCHEIDUNG) ---</t>
        </is>
      </c>
      <c r="B2" t="inlineStr"/>
      <c r="C2" t="inlineStr"/>
      <c r="D2" t="inlineStr"/>
    </row>
    <row r="3">
      <c r="A3" t="inlineStr">
        <is>
          <t>NEUER Kurzfristiger Kredit (MEUR)</t>
        </is>
      </c>
      <c r="B3" t="n">
        <v>15</v>
      </c>
      <c r="C3" t="n">
        <v>20</v>
      </c>
      <c r="D3" t="n">
        <v>10</v>
      </c>
    </row>
    <row r="4">
      <c r="A4" t="inlineStr">
        <is>
          <t>NEUER Langfristiger Kredit (MEUR)</t>
        </is>
      </c>
      <c r="B4" t="n">
        <v>0</v>
      </c>
      <c r="C4" t="n">
        <v>10</v>
      </c>
      <c r="D4" t="n">
        <v>0</v>
      </c>
    </row>
    <row r="5">
      <c r="A5" t="inlineStr">
        <is>
          <t>Dividende (MEUR)</t>
        </is>
      </c>
      <c r="B5" t="n">
        <v>1</v>
      </c>
      <c r="C5" t="n">
        <v>0</v>
      </c>
      <c r="D5" t="n">
        <v>2</v>
      </c>
    </row>
    <row r="6">
      <c r="A6" t="inlineStr">
        <is>
          <t>Geplanter Wertpapierkauf</t>
        </is>
      </c>
      <c r="B6" t="n">
        <v>0</v>
      </c>
      <c r="C6" t="n">
        <v>0</v>
      </c>
      <c r="D6" t="n">
        <v>0</v>
      </c>
    </row>
    <row r="7">
      <c r="A7" s="1" t="inlineStr">
        <is>
          <t>--- 2: BERECHNUNG EBIT &amp; GEWINN ---</t>
        </is>
      </c>
      <c r="B7" t="inlineStr"/>
      <c r="C7" t="inlineStr"/>
      <c r="D7" t="inlineStr"/>
    </row>
    <row r="8">
      <c r="A8" t="inlineStr">
        <is>
          <t>Plan-Umsatz</t>
        </is>
      </c>
      <c r="B8">
        <f>'2_Team_Inputs'!B2*'2_Team_Inputs'!B3/1000000</f>
        <v/>
      </c>
      <c r="C8">
        <f>'2_Team_Inputs'!B2*'2_Team_Inputs'!B3/1000000</f>
        <v/>
      </c>
      <c r="D8">
        <f>'2_Team_Inputs'!B2*'2_Team_Inputs'!B3/1000000</f>
        <v/>
      </c>
    </row>
    <row r="9">
      <c r="A9" t="inlineStr">
        <is>
          <t>Plan-EBIT</t>
        </is>
      </c>
      <c r="B9">
        <f>B8-SUM('2_Team_Inputs'!B5:B9)-'2_Team_Inputs'!B12-'2_Team_Inputs'!B14</f>
        <v/>
      </c>
      <c r="C9">
        <f>C8-SUM('2_Team_Inputs'!B5:B9)-'2_Team_Inputs'!B12-'2_Team_Inputs'!B14</f>
        <v/>
      </c>
      <c r="D9">
        <f>D8-SUM('2_Team_Inputs'!B5:B9)-'2_Team_Inputs'!B12-'2_Team_Inputs'!B14</f>
        <v/>
      </c>
    </row>
    <row r="10">
      <c r="A10" t="inlineStr">
        <is>
          <t>Plan-Zinsaufwand</t>
        </is>
      </c>
      <c r="B10">
        <f>((B3+'1_Ist_Daten'!B7)*'1_Ist_Daten'!B11)+((B4+'1_Ist_Daten'!B8-'2_Team_Inputs'!B11)*'1_Ist_Daten'!B10)</f>
        <v/>
      </c>
      <c r="C10">
        <f>((C3+'1_Ist_Daten'!B7)*'1_Ist_Daten'!B11)+((C4+'1_Ist_Daten'!B8-'2_Team_Inputs'!B11)*'1_Ist_Daten'!B10)</f>
        <v/>
      </c>
      <c r="D10">
        <f>((D3+'1_Ist_Daten'!B7)*'1_Ist_Daten'!B11)+((D4+'1_Ist_Daten'!B8-'2_Team_Inputs'!B11)*'1_Ist_Daten'!B10)</f>
        <v/>
      </c>
    </row>
    <row r="11">
      <c r="A11" t="inlineStr">
        <is>
          <t>Plan-EBT (Ergebnis vor Steuern)</t>
        </is>
      </c>
      <c r="B11">
        <f>B9-B10</f>
        <v/>
      </c>
      <c r="C11">
        <f>C9-C10</f>
        <v/>
      </c>
      <c r="D11">
        <f>D9-D10</f>
        <v/>
      </c>
    </row>
    <row r="12">
      <c r="A12" t="inlineStr">
        <is>
          <t>Bemessungsgrundlage Steuer</t>
        </is>
      </c>
      <c r="B12">
        <f>MAX(0, B11-'1_Ist_Daten'!B5)</f>
        <v/>
      </c>
      <c r="C12">
        <f>MAX(0, C11-'1_Ist_Daten'!B5)</f>
        <v/>
      </c>
      <c r="D12">
        <f>MAX(0, D11-'1_Ist_Daten'!B5)</f>
        <v/>
      </c>
    </row>
    <row r="13">
      <c r="A13" t="inlineStr">
        <is>
          <t>Plan-Steuern</t>
        </is>
      </c>
      <c r="B13">
        <f>B12*'1_Ist_Daten'!B9</f>
        <v/>
      </c>
      <c r="C13">
        <f>C12*'1_Ist_Daten'!B9</f>
        <v/>
      </c>
      <c r="D13">
        <f>D12*'1_Ist_Daten'!B9</f>
        <v/>
      </c>
    </row>
    <row r="14">
      <c r="A14" t="inlineStr">
        <is>
          <t>Plan-Jahresüberschuss</t>
        </is>
      </c>
      <c r="B14">
        <f>B11-B13</f>
        <v/>
      </c>
      <c r="C14">
        <f>C11-C13</f>
        <v/>
      </c>
      <c r="D14">
        <f>D11-D13</f>
        <v/>
      </c>
    </row>
    <row r="15">
      <c r="A15" s="1" t="inlineStr">
        <is>
          <t>--- 3: TOPSIM ZIELEINGABEN ---</t>
        </is>
      </c>
      <c r="B15" t="inlineStr"/>
      <c r="C15" t="inlineStr"/>
      <c r="D15" t="inlineStr"/>
    </row>
    <row r="16">
      <c r="A16" t="inlineStr">
        <is>
          <t>Plan-Eigenkapital</t>
        </is>
      </c>
      <c r="B16">
        <f>'1_Ist_Daten'!B3+B14-B5</f>
        <v/>
      </c>
      <c r="C16">
        <f>'1_Ist_Daten'!B3+C14-C5</f>
        <v/>
      </c>
      <c r="D16">
        <f>'1_Ist_Daten'!B3+D14-D5</f>
        <v/>
      </c>
    </row>
    <row r="17">
      <c r="A17" t="inlineStr">
        <is>
          <t>Plan-EKR (%)</t>
        </is>
      </c>
      <c r="B17">
        <f>(B14/B16)*100</f>
        <v/>
      </c>
      <c r="C17">
        <f>(C14/C16)*100</f>
        <v/>
      </c>
      <c r="D17">
        <f>(D14/D16)*100</f>
        <v/>
      </c>
    </row>
    <row r="18">
      <c r="A18" t="inlineStr">
        <is>
          <t>Plan-Operativer Cashflow (MEUR)</t>
        </is>
      </c>
      <c r="B18">
        <f>B14+'2_Team_Inputs'!B12+'2_Team_Inputs'!B14+'2_Team_Inputs'!B15</f>
        <v/>
      </c>
      <c r="C18">
        <f>C14+'2_Team_Inputs'!B12+'2_Team_Inputs'!B14+'2_Team_Inputs'!B15</f>
        <v/>
      </c>
      <c r="D18">
        <f>D14+'2_Team_Inputs'!B12+'2_Team_Inputs'!B14+'2_Team_Inputs'!B15</f>
        <v/>
      </c>
    </row>
    <row r="19">
      <c r="A19" s="1" t="inlineStr">
        <is>
          <t>--- 4: TOPSIM FATAL CHECK ---</t>
        </is>
      </c>
      <c r="B19" t="inlineStr"/>
      <c r="C19" t="inlineStr"/>
      <c r="D19" t="inlineStr"/>
    </row>
    <row r="20">
      <c r="A20" t="inlineStr">
        <is>
          <t>Kassenbestand ENDE (Alarm &lt; 0)</t>
        </is>
      </c>
      <c r="B20">
        <f>'1_Ist_Daten'!B2+B18+B3+B4-B5-'2_Team_Inputs'!B13-'1_Ist_Daten'!B7-'2_Team_Inputs'!B11-B6</f>
        <v/>
      </c>
      <c r="C20">
        <f>'1_Ist_Daten'!B2+C18+C3+C4-C5-'2_Team_Inputs'!B13-'1_Ist_Daten'!B7-'2_Team_Inputs'!B11-C6</f>
        <v/>
      </c>
      <c r="D20">
        <f>'1_Ist_Daten'!B2+D18+D3+D4-D5-'2_Team_Inputs'!B13-'1_Ist_Daten'!B7-'2_Team_Inputs'!B11-D6</f>
        <v/>
      </c>
    </row>
  </sheetData>
  <conditionalFormatting sqref="B20:D20">
    <cfRule type="cellIs" priority="1" operator="lessThan" dxfId="0" stopIfTrue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2026-04-02T08:33:21Z</dcterms:created>
  <dcterms:modified xsi:type="dcterms:W3CDTF">2026-04-02T08:33:21Z</dcterms:modified>
</cp:coreProperties>
</file>