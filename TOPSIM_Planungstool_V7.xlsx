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tian\Downloads\"/>
    </mc:Choice>
  </mc:AlternateContent>
  <xr:revisionPtr revIDLastSave="0" documentId="13_ncr:1_{D745DCBC-5122-437F-8546-1349F0B6D2EA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TOPSIM Plan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50" i="1" s="1"/>
  <c r="C60" i="1"/>
  <c r="B60" i="1"/>
  <c r="C59" i="1"/>
  <c r="B59" i="1"/>
  <c r="C55" i="1"/>
  <c r="B55" i="1"/>
  <c r="C54" i="1"/>
  <c r="B54" i="1"/>
  <c r="C53" i="1"/>
  <c r="B53" i="1"/>
  <c r="C49" i="1"/>
  <c r="C50" i="1" s="1"/>
  <c r="C34" i="1"/>
  <c r="B34" i="1"/>
  <c r="C18" i="1"/>
  <c r="C56" i="1" s="1"/>
  <c r="B18" i="1"/>
  <c r="B56" i="1" s="1"/>
  <c r="C5" i="1"/>
  <c r="C43" i="1" s="1"/>
  <c r="B5" i="1"/>
  <c r="B43" i="1" s="1"/>
  <c r="B13" i="1" l="1"/>
  <c r="B19" i="1" s="1"/>
  <c r="C13" i="1"/>
  <c r="C19" i="1" s="1"/>
  <c r="C21" i="1" l="1"/>
  <c r="C23" i="1" s="1"/>
  <c r="C57" i="1" s="1"/>
  <c r="C61" i="1" s="1"/>
  <c r="C63" i="1" s="1"/>
  <c r="C65" i="1" s="1"/>
  <c r="C66" i="1" s="1"/>
  <c r="B21" i="1"/>
  <c r="B23" i="1" s="1"/>
  <c r="B57" i="1" s="1"/>
  <c r="B61" i="1" s="1"/>
  <c r="B63" i="1" s="1"/>
  <c r="B65" i="1" s="1"/>
  <c r="B66" i="1" s="1"/>
  <c r="B24" i="1" l="1"/>
  <c r="C24" i="1"/>
  <c r="C29" i="1" l="1"/>
  <c r="C33" i="1"/>
  <c r="C36" i="1" s="1"/>
  <c r="C39" i="1" s="1"/>
  <c r="C30" i="1"/>
  <c r="B29" i="1"/>
  <c r="B33" i="1"/>
  <c r="B36" i="1" s="1"/>
  <c r="B39" i="1" s="1"/>
  <c r="B30" i="1"/>
</calcChain>
</file>

<file path=xl/sharedStrings.xml><?xml version="1.0" encoding="utf-8"?>
<sst xmlns="http://schemas.openxmlformats.org/spreadsheetml/2006/main" count="66" uniqueCount="66">
  <si>
    <t>Position</t>
  </si>
  <si>
    <t>Szenario 1 (Planung)</t>
  </si>
  <si>
    <t>Szenario 2 (Alternativ)</t>
  </si>
  <si>
    <t>1. PLAN-GEWINN- UND VERLUSTRECHNUNG</t>
  </si>
  <si>
    <t>Geplante Absatzmenge (Stück)</t>
  </si>
  <si>
    <t>Geplanter Preis (EUR/Stück)</t>
  </si>
  <si>
    <t>Umsatzerlöse (MEUR)</t>
  </si>
  <si>
    <t>Geplante Herstellkosten (Material &amp; Fertigung) (MEUR)</t>
  </si>
  <si>
    <t>Geplante F&amp;E-Kosten (MEUR)</t>
  </si>
  <si>
    <t>Geplante Verwaltungskosten (MEUR)</t>
  </si>
  <si>
    <t>Geplante Marketing- &amp; Vertriebskosten (MEUR)</t>
  </si>
  <si>
    <t>Abschreibungen Anlagen Alt (MEUR)</t>
  </si>
  <si>
    <t>Abschreibungen Gebäude (MEUR)</t>
  </si>
  <si>
    <t>Abschreibungen Anlage Neu (MEUR)</t>
  </si>
  <si>
    <t>PLAN-EBIT (MEUR)</t>
  </si>
  <si>
    <t>Zinssatz Langfristig (ZL) in %</t>
  </si>
  <si>
    <t>Zinssatz Kurzfristig (ZK) in %</t>
  </si>
  <si>
    <t>Langfristige Kredite Bestand (Alt + Neu) (MEUR)</t>
  </si>
  <si>
    <t>Kurzfristige Kredite Bestand (MEUR)</t>
  </si>
  <si>
    <t>Plan-Zinsaufwand (MEUR)</t>
  </si>
  <si>
    <t>PLAN-EBT (Ergebnis vor Steuern) (MEUR)</t>
  </si>
  <si>
    <t>Verlustvortrag aus Vorperioden (MEUR)</t>
  </si>
  <si>
    <t>Steuerpflichtiges Ergebnis (MEUR)</t>
  </si>
  <si>
    <t>Steuersatz in %</t>
  </si>
  <si>
    <t>Geplante Ertragssteuern (MEUR)</t>
  </si>
  <si>
    <t>PLAN-JAHRESÜBERSCHUSS (P-JÜ) (MEUR)</t>
  </si>
  <si>
    <t>2. PLAN-EIGENKAPITAL &amp; EKR</t>
  </si>
  <si>
    <t>Eigenkapital Vorperiode (MEUR)</t>
  </si>
  <si>
    <t>Beschlossene Dividende (MEUR)</t>
  </si>
  <si>
    <t>Plan-Eigenkapital Ende Periode (MEUR)</t>
  </si>
  <si>
    <t>GEPLANTE EIGENKAPITALRENDITE (EKR) in %</t>
  </si>
  <si>
    <t>3. OPERATIVER CASHFLOW</t>
  </si>
  <si>
    <t>Plan-Jahresüberschuss (MEUR)</t>
  </si>
  <si>
    <t>Zuzüglich Gesamtabschreibungen (MEUR)</t>
  </si>
  <si>
    <t>Veränderung langfr. Rückstellungen (MEUR)</t>
  </si>
  <si>
    <t>Traditioneller Cashflow (MEUR)</t>
  </si>
  <si>
    <t>Veränderung Forderungen (Working Capital) (MEUR)</t>
  </si>
  <si>
    <t>Veränderung Vorräte (Working Capital) (MEUR)</t>
  </si>
  <si>
    <t>GEPLANTER OPERATIVER CASHFLOW (MEUR)</t>
  </si>
  <si>
    <t>4. LIQUIDITÄTSPLANUNG (Blueprint gem. Folien)</t>
  </si>
  <si>
    <t>EINZAHLUNGEN</t>
  </si>
  <si>
    <t>Einzahlung aus Umsatz laufende Periode (80%) (MEUR)</t>
  </si>
  <si>
    <t>Einzahlung aus Umsatz Vorperiode (20%) (MEUR)</t>
  </si>
  <si>
    <t>Zins- / Beteiligungserträge (MEUR)</t>
  </si>
  <si>
    <t>Desinvestitionen (MEUR)</t>
  </si>
  <si>
    <t>Kreditbestand Vorperiode Langfristig (Hilfszeile) (MEUR)</t>
  </si>
  <si>
    <t>Kreditbestand Vorperiode Kurzfristig (Hilfszeile) (MEUR)</t>
  </si>
  <si>
    <t>Kreditaufnahme (Neuaufnahme KF + LF) (MEUR)</t>
  </si>
  <si>
    <t>SUMME DER EINZAHLUNGEN (MEUR)</t>
  </si>
  <si>
    <t>AUSZAHLUNGEN</t>
  </si>
  <si>
    <t>Auszahlungen für Material &amp; Fertigung (MEUR)</t>
  </si>
  <si>
    <t>Auszahlungen für Forschung &amp; Entwicklung (MEUR)</t>
  </si>
  <si>
    <t>Auszahlungen für Verwaltung &amp; Vertrieb (MEUR)</t>
  </si>
  <si>
    <t>Zinszahlungen (MEUR)</t>
  </si>
  <si>
    <t>Steuern (MEUR)</t>
  </si>
  <si>
    <t>Investitionen (MEUR)</t>
  </si>
  <si>
    <t>Kredittilgung (nur kurzfristig möglich) (MEUR)</t>
  </si>
  <si>
    <t>Dividendenzahlung (MEUR)</t>
  </si>
  <si>
    <t>SUMME DER AUSZAHLUNGEN (MEUR)</t>
  </si>
  <si>
    <t>Zahlungsmittelüberschuss/-fehlbetrag (MEUR)</t>
  </si>
  <si>
    <t>Zahlungsmittelanfangsbestand (MEUR)</t>
  </si>
  <si>
    <t>ZAHLUNGSMITTELENDBESTAND (MEUR)</t>
  </si>
  <si>
    <t>Mindest-Liquidität (Warnung)</t>
  </si>
  <si>
    <t>Legende:</t>
  </si>
  <si>
    <t>Hellgrüne Zellen = Eigene Planwerte / Handbuchwerte eintragen</t>
  </si>
  <si>
    <t>Hellblaue Zellen = Automatische Berechnung (Formeln)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</si>
</sst>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4" fontId="0" fillId="4" borderId="1" xfId="0" applyNumberFormat="1" applyFill="1" applyBorder="1"/>
    <xf numFmtId="0" fontId="0" fillId="5" borderId="1" xfId="0" applyFill="1" applyBorder="1"/>
    <xf numFmtId="0" fontId="3" fillId="0" borderId="1" xfId="0" applyFont="1" applyBorder="1"/>
    <xf numFmtId="0" fontId="3" fillId="5" borderId="1" xfId="0" applyFont="1" applyFill="1" applyBorder="1"/>
    <xf numFmtId="0" fontId="3" fillId="0" borderId="0" xfId="0" applyFont="1"/>
    <xf numFmtId="0" fontId="0" fillId="4" borderId="0" xfId="0" applyFill="1"/>
    <xf numFmtId="0" fontId="0" fillId="5" borderId="0" xfId="0" applyFill="1"/>
    <xf numFmtId="4" fontId="0" fillId="5" borderId="1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zoomScale="130" zoomScaleNormal="130" workbookViewId="0">
      <selection activeCell="A61" sqref="A61"/>
    </sheetView>
  </sheetViews>
  <sheetFormatPr baseColWidth="10" defaultColWidth="8.88671875" defaultRowHeight="14.4" x14ac:dyDescent="0.3"/>
  <cols>
    <col min="1" max="1" width="65" customWidth="1"/>
    <col min="2" max="3" width="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/>
      <c r="C2" s="3"/>
    </row>
    <row r="3" spans="1:3" x14ac:dyDescent="0.3">
      <c r="A3" s="4" t="s">
        <v>4</v>
      </c>
      <c r="B3" s="5">
        <v>45000</v>
      </c>
      <c r="C3" s="5">
        <v>45000</v>
      </c>
    </row>
    <row r="4" spans="1:3" x14ac:dyDescent="0.3">
      <c r="A4" s="4" t="s">
        <v>5</v>
      </c>
      <c r="B4" s="5">
        <v>3200</v>
      </c>
      <c r="C4" s="5">
        <v>3200</v>
      </c>
    </row>
    <row r="5" spans="1:3" x14ac:dyDescent="0.3">
      <c r="A5" s="4" t="s">
        <v>6</v>
      </c>
      <c r="B5" s="6">
        <f>B3*B4/1000000</f>
        <v>144</v>
      </c>
      <c r="C5" s="6">
        <f>C3*C4/1000000</f>
        <v>144</v>
      </c>
    </row>
    <row r="6" spans="1:3" x14ac:dyDescent="0.3">
      <c r="A6" s="4" t="s">
        <v>7</v>
      </c>
      <c r="B6" s="5">
        <v>-95</v>
      </c>
      <c r="C6" s="5">
        <v>-95</v>
      </c>
    </row>
    <row r="7" spans="1:3" x14ac:dyDescent="0.3">
      <c r="A7" s="4" t="s">
        <v>8</v>
      </c>
      <c r="B7" s="5">
        <v>-3.5</v>
      </c>
      <c r="C7" s="5">
        <v>-3.5</v>
      </c>
    </row>
    <row r="8" spans="1:3" x14ac:dyDescent="0.3">
      <c r="A8" s="4" t="s">
        <v>9</v>
      </c>
      <c r="B8" s="5">
        <v>-26.5</v>
      </c>
      <c r="C8" s="5">
        <v>-26.5</v>
      </c>
    </row>
    <row r="9" spans="1:3" x14ac:dyDescent="0.3">
      <c r="A9" s="4" t="s">
        <v>10</v>
      </c>
      <c r="B9" s="5">
        <v>-20</v>
      </c>
      <c r="C9" s="5">
        <v>-20</v>
      </c>
    </row>
    <row r="10" spans="1:3" x14ac:dyDescent="0.3">
      <c r="A10" s="4" t="s">
        <v>11</v>
      </c>
      <c r="B10" s="5">
        <v>-6.75</v>
      </c>
      <c r="C10" s="5">
        <v>-6.75</v>
      </c>
    </row>
    <row r="11" spans="1:3" x14ac:dyDescent="0.3">
      <c r="A11" s="4" t="s">
        <v>12</v>
      </c>
      <c r="B11" s="5">
        <v>-0.25</v>
      </c>
      <c r="C11" s="5">
        <v>-0.25</v>
      </c>
    </row>
    <row r="12" spans="1:3" x14ac:dyDescent="0.3">
      <c r="A12" s="4" t="s">
        <v>13</v>
      </c>
      <c r="B12" s="5">
        <v>-2.5</v>
      </c>
      <c r="C12" s="5">
        <v>-2.5</v>
      </c>
    </row>
    <row r="13" spans="1:3" x14ac:dyDescent="0.3">
      <c r="A13" s="7" t="s">
        <v>14</v>
      </c>
      <c r="B13" s="8">
        <f>SUM(B5:B12)</f>
        <v>-10.5</v>
      </c>
      <c r="C13" s="8">
        <f>SUM(C5:C12)</f>
        <v>-10.5</v>
      </c>
    </row>
    <row r="14" spans="1:3" x14ac:dyDescent="0.3">
      <c r="A14" s="4" t="s">
        <v>15</v>
      </c>
      <c r="B14" s="5">
        <v>7</v>
      </c>
      <c r="C14" s="5">
        <v>7</v>
      </c>
    </row>
    <row r="15" spans="1:3" x14ac:dyDescent="0.3">
      <c r="A15" s="4" t="s">
        <v>16</v>
      </c>
      <c r="B15" s="5">
        <v>8</v>
      </c>
      <c r="C15" s="5">
        <v>8</v>
      </c>
    </row>
    <row r="16" spans="1:3" x14ac:dyDescent="0.3">
      <c r="A16" s="4" t="s">
        <v>17</v>
      </c>
      <c r="B16" s="5">
        <v>20</v>
      </c>
      <c r="C16" s="5">
        <v>25.5</v>
      </c>
    </row>
    <row r="17" spans="1:3" x14ac:dyDescent="0.3">
      <c r="A17" s="4" t="s">
        <v>18</v>
      </c>
      <c r="B17" s="5">
        <v>25</v>
      </c>
      <c r="C17" s="5">
        <v>15</v>
      </c>
    </row>
    <row r="18" spans="1:3" x14ac:dyDescent="0.3">
      <c r="A18" s="7" t="s">
        <v>19</v>
      </c>
      <c r="B18" s="8">
        <f>-(B16*(B14/100) + B17*(B15/100))</f>
        <v>-3.4000000000000004</v>
      </c>
      <c r="C18" s="8">
        <f>-(C16*(C14/100) + C17*(C15/100))</f>
        <v>-2.9850000000000003</v>
      </c>
    </row>
    <row r="19" spans="1:3" x14ac:dyDescent="0.3">
      <c r="A19" s="7" t="s">
        <v>20</v>
      </c>
      <c r="B19" s="8">
        <f>B13+B18</f>
        <v>-13.9</v>
      </c>
      <c r="C19" s="8">
        <f>C13+C18</f>
        <v>-13.484999999999999</v>
      </c>
    </row>
    <row r="20" spans="1:3" x14ac:dyDescent="0.3">
      <c r="A20" s="4" t="s">
        <v>21</v>
      </c>
      <c r="B20" s="5">
        <v>0</v>
      </c>
      <c r="C20" s="5">
        <v>0</v>
      </c>
    </row>
    <row r="21" spans="1:3" x14ac:dyDescent="0.3">
      <c r="A21" s="4" t="s">
        <v>22</v>
      </c>
      <c r="B21" s="6">
        <f>MAX(0, B19-B20)</f>
        <v>0</v>
      </c>
      <c r="C21" s="6">
        <f>MAX(0, C19-C20)</f>
        <v>0</v>
      </c>
    </row>
    <row r="22" spans="1:3" x14ac:dyDescent="0.3">
      <c r="A22" s="4" t="s">
        <v>23</v>
      </c>
      <c r="B22" s="5">
        <v>45</v>
      </c>
      <c r="C22" s="5">
        <v>45</v>
      </c>
    </row>
    <row r="23" spans="1:3" x14ac:dyDescent="0.3">
      <c r="A23" s="7" t="s">
        <v>24</v>
      </c>
      <c r="B23" s="8">
        <f>-B21*(B22/100)</f>
        <v>0</v>
      </c>
      <c r="C23" s="8">
        <f>-C21*(C22/100)</f>
        <v>0</v>
      </c>
    </row>
    <row r="24" spans="1:3" x14ac:dyDescent="0.3">
      <c r="A24" s="7" t="s">
        <v>25</v>
      </c>
      <c r="B24" s="8">
        <f>B19+B23</f>
        <v>-13.9</v>
      </c>
      <c r="C24" s="8">
        <f>C19+C23</f>
        <v>-13.484999999999999</v>
      </c>
    </row>
    <row r="26" spans="1:3" ht="15.6" x14ac:dyDescent="0.3">
      <c r="A26" s="2" t="s">
        <v>26</v>
      </c>
      <c r="B26" s="3"/>
      <c r="C26" s="3"/>
    </row>
    <row r="27" spans="1:3" x14ac:dyDescent="0.3">
      <c r="A27" s="4" t="s">
        <v>27</v>
      </c>
      <c r="B27" s="5">
        <v>43.02</v>
      </c>
      <c r="C27" s="5">
        <v>43.02</v>
      </c>
    </row>
    <row r="28" spans="1:3" x14ac:dyDescent="0.3">
      <c r="A28" s="4" t="s">
        <v>28</v>
      </c>
      <c r="B28" s="5">
        <v>-1</v>
      </c>
      <c r="C28" s="5">
        <v>-1</v>
      </c>
    </row>
    <row r="29" spans="1:3" x14ac:dyDescent="0.3">
      <c r="A29" s="7" t="s">
        <v>29</v>
      </c>
      <c r="B29" s="8">
        <f>B27+B28+B24</f>
        <v>28.120000000000005</v>
      </c>
      <c r="C29" s="8">
        <f>C27+C28+C24</f>
        <v>28.535000000000004</v>
      </c>
    </row>
    <row r="30" spans="1:3" x14ac:dyDescent="0.3">
      <c r="A30" s="7" t="s">
        <v>30</v>
      </c>
      <c r="B30" s="8">
        <f>(B24/B29)*100</f>
        <v>-49.431009957325742</v>
      </c>
      <c r="C30" s="8">
        <f>(C24/C29)*100</f>
        <v>-47.257753635885749</v>
      </c>
    </row>
    <row r="32" spans="1:3" ht="15.6" x14ac:dyDescent="0.3">
      <c r="A32" s="2" t="s">
        <v>31</v>
      </c>
      <c r="B32" s="3"/>
      <c r="C32" s="3"/>
    </row>
    <row r="33" spans="1:3" x14ac:dyDescent="0.3">
      <c r="A33" s="7" t="s">
        <v>32</v>
      </c>
      <c r="B33" s="8">
        <f>B24</f>
        <v>-13.9</v>
      </c>
      <c r="C33" s="8">
        <f>C24</f>
        <v>-13.484999999999999</v>
      </c>
    </row>
    <row r="34" spans="1:3" x14ac:dyDescent="0.3">
      <c r="A34" s="4" t="s">
        <v>33</v>
      </c>
      <c r="B34" s="6">
        <f>-(B10+B11+B12)</f>
        <v>9.5</v>
      </c>
      <c r="C34" s="6">
        <f>-(C10+C11+C12)</f>
        <v>9.5</v>
      </c>
    </row>
    <row r="35" spans="1:3" x14ac:dyDescent="0.3">
      <c r="A35" s="4" t="s">
        <v>34</v>
      </c>
      <c r="B35" s="5">
        <v>2</v>
      </c>
      <c r="C35" s="5">
        <v>2</v>
      </c>
    </row>
    <row r="36" spans="1:3" x14ac:dyDescent="0.3">
      <c r="A36" s="4" t="s">
        <v>35</v>
      </c>
      <c r="B36" s="6">
        <f>B33+B34+B35</f>
        <v>-2.4000000000000004</v>
      </c>
      <c r="C36" s="6">
        <f>C33+C34+C35</f>
        <v>-1.9849999999999994</v>
      </c>
    </row>
    <row r="37" spans="1:3" x14ac:dyDescent="0.3">
      <c r="A37" s="4" t="s">
        <v>36</v>
      </c>
      <c r="B37" s="5">
        <v>-3</v>
      </c>
      <c r="C37" s="5">
        <v>-3</v>
      </c>
    </row>
    <row r="38" spans="1:3" x14ac:dyDescent="0.3">
      <c r="A38" s="4" t="s">
        <v>37</v>
      </c>
      <c r="B38" s="5">
        <v>1</v>
      </c>
      <c r="C38" s="5">
        <v>1</v>
      </c>
    </row>
    <row r="39" spans="1:3" x14ac:dyDescent="0.3">
      <c r="A39" s="7" t="s">
        <v>38</v>
      </c>
      <c r="B39" s="8">
        <f>B36+B37+B38</f>
        <v>-4.4000000000000004</v>
      </c>
      <c r="C39" s="8">
        <f>C36+C37+C38</f>
        <v>-3.9849999999999994</v>
      </c>
    </row>
    <row r="41" spans="1:3" ht="15.6" x14ac:dyDescent="0.3">
      <c r="A41" s="2" t="s">
        <v>39</v>
      </c>
      <c r="B41" s="3"/>
      <c r="C41" s="3"/>
    </row>
    <row r="42" spans="1:3" x14ac:dyDescent="0.3">
      <c r="A42" s="7" t="s">
        <v>40</v>
      </c>
    </row>
    <row r="43" spans="1:3" x14ac:dyDescent="0.3">
      <c r="A43" s="4" t="s">
        <v>41</v>
      </c>
      <c r="B43" s="6">
        <f>B5*0.8</f>
        <v>115.2</v>
      </c>
      <c r="C43" s="6">
        <f>C5*0.8</f>
        <v>115.2</v>
      </c>
    </row>
    <row r="44" spans="1:3" x14ac:dyDescent="0.3">
      <c r="A44" s="4" t="s">
        <v>42</v>
      </c>
      <c r="B44" s="5">
        <v>25.8</v>
      </c>
      <c r="C44" s="5">
        <v>25.8</v>
      </c>
    </row>
    <row r="45" spans="1:3" x14ac:dyDescent="0.3">
      <c r="A45" s="4" t="s">
        <v>43</v>
      </c>
      <c r="B45" s="5">
        <v>0</v>
      </c>
      <c r="C45" s="5">
        <v>0</v>
      </c>
    </row>
    <row r="46" spans="1:3" x14ac:dyDescent="0.3">
      <c r="A46" s="4" t="s">
        <v>44</v>
      </c>
      <c r="B46" s="5">
        <v>0</v>
      </c>
      <c r="C46" s="5">
        <v>0</v>
      </c>
    </row>
    <row r="47" spans="1:3" x14ac:dyDescent="0.3">
      <c r="A47" s="4" t="s">
        <v>45</v>
      </c>
      <c r="B47" s="5">
        <v>10</v>
      </c>
      <c r="C47" s="5">
        <v>25.5</v>
      </c>
    </row>
    <row r="48" spans="1:3" x14ac:dyDescent="0.3">
      <c r="A48" s="4" t="s">
        <v>46</v>
      </c>
      <c r="B48" s="5">
        <v>20</v>
      </c>
      <c r="C48" s="5">
        <v>0</v>
      </c>
    </row>
    <row r="49" spans="1:3" x14ac:dyDescent="0.3">
      <c r="A49" s="4" t="s">
        <v>47</v>
      </c>
      <c r="B49" s="12">
        <f>MAX(0, B16-B47) + MAX(0, B17-B48)</f>
        <v>15</v>
      </c>
      <c r="C49" s="6">
        <f>MAX(0, C16-C47) + MAX(0, C17-C48)</f>
        <v>15</v>
      </c>
    </row>
    <row r="50" spans="1:3" x14ac:dyDescent="0.3">
      <c r="A50" s="7" t="s">
        <v>48</v>
      </c>
      <c r="B50" s="8">
        <f>SUM(B43:B46)+B49</f>
        <v>156</v>
      </c>
      <c r="C50" s="8">
        <f>SUM(C43:C46)+C49</f>
        <v>156</v>
      </c>
    </row>
    <row r="52" spans="1:3" x14ac:dyDescent="0.3">
      <c r="A52" s="7" t="s">
        <v>49</v>
      </c>
    </row>
    <row r="53" spans="1:3" x14ac:dyDescent="0.3">
      <c r="A53" s="4" t="s">
        <v>50</v>
      </c>
      <c r="B53" s="6">
        <f>-B6</f>
        <v>95</v>
      </c>
      <c r="C53" s="6">
        <f>-C6</f>
        <v>95</v>
      </c>
    </row>
    <row r="54" spans="1:3" x14ac:dyDescent="0.3">
      <c r="A54" s="4" t="s">
        <v>51</v>
      </c>
      <c r="B54" s="6">
        <f>-B7</f>
        <v>3.5</v>
      </c>
      <c r="C54" s="6">
        <f>-C7</f>
        <v>3.5</v>
      </c>
    </row>
    <row r="55" spans="1:3" x14ac:dyDescent="0.3">
      <c r="A55" s="4" t="s">
        <v>52</v>
      </c>
      <c r="B55" s="6">
        <f>-(B8+B9)</f>
        <v>46.5</v>
      </c>
      <c r="C55" s="6">
        <f>-(C8+C9)</f>
        <v>46.5</v>
      </c>
    </row>
    <row r="56" spans="1:3" x14ac:dyDescent="0.3">
      <c r="A56" s="4" t="s">
        <v>53</v>
      </c>
      <c r="B56" s="6">
        <f>-B18</f>
        <v>3.4000000000000004</v>
      </c>
      <c r="C56" s="6">
        <f>-C18</f>
        <v>2.9850000000000003</v>
      </c>
    </row>
    <row r="57" spans="1:3" x14ac:dyDescent="0.3">
      <c r="A57" s="4" t="s">
        <v>54</v>
      </c>
      <c r="B57" s="6">
        <f>-B23</f>
        <v>0</v>
      </c>
      <c r="C57" s="6">
        <f>-C23</f>
        <v>0</v>
      </c>
    </row>
    <row r="58" spans="1:3" x14ac:dyDescent="0.3">
      <c r="A58" s="4" t="s">
        <v>55</v>
      </c>
      <c r="B58" s="5">
        <v>22.5</v>
      </c>
      <c r="C58" s="5">
        <v>22.5</v>
      </c>
    </row>
    <row r="59" spans="1:3" x14ac:dyDescent="0.3">
      <c r="A59" s="4" t="s">
        <v>56</v>
      </c>
      <c r="B59" s="6">
        <f>MAX(0, B48-B17)</f>
        <v>0</v>
      </c>
      <c r="C59" s="6">
        <f>MAX(0, C48-C17)</f>
        <v>0</v>
      </c>
    </row>
    <row r="60" spans="1:3" x14ac:dyDescent="0.3">
      <c r="A60" s="4" t="s">
        <v>57</v>
      </c>
      <c r="B60" s="6">
        <f>-B28</f>
        <v>1</v>
      </c>
      <c r="C60" s="6">
        <f>-C28</f>
        <v>1</v>
      </c>
    </row>
    <row r="61" spans="1:3" x14ac:dyDescent="0.3">
      <c r="A61" s="7" t="s">
        <v>58</v>
      </c>
      <c r="B61" s="8">
        <f>SUM(B53:B60)</f>
        <v>171.9</v>
      </c>
      <c r="C61" s="8">
        <f>SUM(C53:C60)</f>
        <v>171.48500000000001</v>
      </c>
    </row>
    <row r="63" spans="1:3" x14ac:dyDescent="0.3">
      <c r="A63" s="4" t="s">
        <v>59</v>
      </c>
      <c r="B63" s="6">
        <f>B50-B61</f>
        <v>-15.900000000000006</v>
      </c>
      <c r="C63" s="6">
        <f>C50-C61</f>
        <v>-15.485000000000014</v>
      </c>
    </row>
    <row r="64" spans="1:3" x14ac:dyDescent="0.3">
      <c r="A64" s="4" t="s">
        <v>60</v>
      </c>
      <c r="B64" s="5">
        <v>11.26</v>
      </c>
      <c r="C64" s="5">
        <v>11.26</v>
      </c>
    </row>
    <row r="65" spans="1:3" x14ac:dyDescent="0.3">
      <c r="A65" s="7" t="s">
        <v>61</v>
      </c>
      <c r="B65" s="8">
        <f>B63+B64</f>
        <v>-4.6400000000000059</v>
      </c>
      <c r="C65" s="8">
        <f>C63+C64</f>
        <v>-4.2250000000000139</v>
      </c>
    </row>
    <row r="66" spans="1:3" x14ac:dyDescent="0.3">
      <c r="A66" s="4" t="s">
        <v>62</v>
      </c>
      <c r="B66" s="6" t="str">
        <f>IF(B65&lt;0.1, "KRITISCH", "OK")</f>
        <v>KRITISCH</v>
      </c>
      <c r="C66" s="6" t="str">
        <f>IF(C65&lt;0.1, "KRITISCH", "OK")</f>
        <v>KRITISCH</v>
      </c>
    </row>
    <row r="68" spans="1:3" x14ac:dyDescent="0.3">
      <c r="A68" s="9" t="s">
        <v>63</v>
      </c>
    </row>
    <row r="69" spans="1:3" x14ac:dyDescent="0.3">
      <c r="A69" s="10" t="s">
        <v>64</v>
      </c>
    </row>
    <row r="70" spans="1:3" x14ac:dyDescent="0.3">
      <c r="A70" s="1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TOPSIM 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Kempe</cp:lastModifiedBy>
  <dcterms:created xsi:type="dcterms:W3CDTF">2026-04-15T21:16:50Z</dcterms:created>
  <dcterms:modified xsi:type="dcterms:W3CDTF">2026-04-15T21:22:45Z</dcterms:modified>
</cp:coreProperties>
</file>