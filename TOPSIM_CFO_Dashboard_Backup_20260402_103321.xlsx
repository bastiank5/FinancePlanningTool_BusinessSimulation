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6db5acea2ea2686/Hochschule/Sechstes Semester/Business Simulation/Finance Tool/"/>
    </mc:Choice>
  </mc:AlternateContent>
  <xr:revisionPtr revIDLastSave="6" documentId="11_80A34C4FDD2781105348543A5FB89E1126240A39" xr6:coauthVersionLast="47" xr6:coauthVersionMax="47" xr10:uidLastSave="{DFEEA8BA-9756-45B2-9D97-12DE40026DD1}"/>
  <bookViews>
    <workbookView xWindow="-108" yWindow="-108" windowWidth="30936" windowHeight="17496" activeTab="2" xr2:uid="{00000000-000D-0000-FFFF-FFFF00000000}"/>
  </bookViews>
  <sheets>
    <sheet name="1_Ist_Daten" sheetId="1" r:id="rId1"/>
    <sheet name="2_Team_Inputs" sheetId="2" r:id="rId2"/>
    <sheet name="3_Szenario_Rechn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C10" i="3"/>
  <c r="B10" i="3"/>
  <c r="B9" i="3"/>
  <c r="D8" i="3"/>
  <c r="D9" i="3" s="1"/>
  <c r="D11" i="3" s="1"/>
  <c r="C8" i="3"/>
  <c r="C9" i="3" s="1"/>
  <c r="C11" i="3" s="1"/>
  <c r="B8" i="3"/>
  <c r="B11" i="3" l="1"/>
  <c r="C12" i="3"/>
  <c r="C13" i="3" s="1"/>
  <c r="D12" i="3"/>
  <c r="D13" i="3"/>
  <c r="B12" i="3"/>
  <c r="B13" i="3"/>
  <c r="C17" i="3" l="1"/>
  <c r="C19" i="3" s="1"/>
  <c r="C15" i="3"/>
  <c r="C16" i="3" s="1"/>
  <c r="B17" i="3"/>
  <c r="B19" i="3" s="1"/>
  <c r="B15" i="3"/>
  <c r="B16" i="3" s="1"/>
  <c r="D17" i="3"/>
  <c r="D19" i="3" s="1"/>
  <c r="D15" i="3"/>
  <c r="D16" i="3" s="1"/>
</calcChain>
</file>

<file path=xl/sharedStrings.xml><?xml version="1.0" encoding="utf-8"?>
<sst xmlns="http://schemas.openxmlformats.org/spreadsheetml/2006/main" count="78" uniqueCount="61">
  <si>
    <t>Feld</t>
  </si>
  <si>
    <t>Wert</t>
  </si>
  <si>
    <t>Einheit</t>
  </si>
  <si>
    <t>Hinweis (Aus letzter Excel)</t>
  </si>
  <si>
    <t>Kassenbestand (Start Periode)</t>
  </si>
  <si>
    <t>MEUR</t>
  </si>
  <si>
    <t>Aus Bilanz Aktiva</t>
  </si>
  <si>
    <t>Eigenkapital</t>
  </si>
  <si>
    <t>Aus Bilanz Passiva</t>
  </si>
  <si>
    <t>Gewinnvortrag</t>
  </si>
  <si>
    <t>Maximal mögliche Dividende</t>
  </si>
  <si>
    <t>Pensionsrückstellungen</t>
  </si>
  <si>
    <t>Passiva</t>
  </si>
  <si>
    <t>Geplante E-Steuer (%)</t>
  </si>
  <si>
    <t>%</t>
  </si>
  <si>
    <t>Im Handbuch prüfen. 0.30 = 30%</t>
  </si>
  <si>
    <t>Zinssatz Langfristig (%)</t>
  </si>
  <si>
    <t>Bsp: 6% aus Berichten</t>
  </si>
  <si>
    <t>Zinssatz Kurzfristig (%)</t>
  </si>
  <si>
    <t>Bsp: 8% aus Berichten</t>
  </si>
  <si>
    <t>Hinweis (Vom Team erfragen)</t>
  </si>
  <si>
    <t>Geplante Absatzmenge</t>
  </si>
  <si>
    <t>Stück</t>
  </si>
  <si>
    <t>Planzahl Vertrieb</t>
  </si>
  <si>
    <t>Geplanter Preis</t>
  </si>
  <si>
    <t>EUR</t>
  </si>
  <si>
    <t>--- KERNAUSGABEN ---</t>
  </si>
  <si>
    <t>Total Herstellkosten</t>
  </si>
  <si>
    <t>inkl. Personal in Fertigung</t>
  </si>
  <si>
    <t>Total Verwaltungskosten</t>
  </si>
  <si>
    <t>Total Marketing/Vertrieb</t>
  </si>
  <si>
    <t>--- INVESTITIONEN ---</t>
  </si>
  <si>
    <t>Abschreibungen Alt-Anlagen</t>
  </si>
  <si>
    <t>GuV / Anlagenblatt</t>
  </si>
  <si>
    <t>Geplante Neuinvestition (Maschine)</t>
  </si>
  <si>
    <t>Totaler Kaufpreis - Cash Out!</t>
  </si>
  <si>
    <t>Geplante Neu-Abschreibung</t>
  </si>
  <si>
    <t>Z.B. 10% von Maschine</t>
  </si>
  <si>
    <t>Veränderung Pensionsrückstellungen</t>
  </si>
  <si>
    <t>Positiv = Cash-plus</t>
  </si>
  <si>
    <t>Szenario A (Defensiv)</t>
  </si>
  <si>
    <t>Szenario B (Aggressiv)</t>
  </si>
  <si>
    <t>Szenario C</t>
  </si>
  <si>
    <t>--- 1: EINGABEN (DEINE CFO ENTSCHEIDUNG) ---</t>
  </si>
  <si>
    <t>Kurzfristiger Kredit (MEUR)</t>
  </si>
  <si>
    <t>Langfristiger Kredit (MEUR)</t>
  </si>
  <si>
    <t>Dividende (MEUR)</t>
  </si>
  <si>
    <t>Geplanter Wertpapierkauf</t>
  </si>
  <si>
    <t>--- 2: BERECHNUNG EBIT &amp; GEWINN ---</t>
  </si>
  <si>
    <t>Plan-Umsatz</t>
  </si>
  <si>
    <t>Plan-EBIT</t>
  </si>
  <si>
    <t>Plan-Zinsaufwand</t>
  </si>
  <si>
    <t>Plan-EBT (Ergebnis vor Steuern)</t>
  </si>
  <si>
    <t>Plan-Steuern</t>
  </si>
  <si>
    <t>Plan-Jahresüberschuss</t>
  </si>
  <si>
    <t>--- 3: TOPSIM ZIELEINGABEN ---</t>
  </si>
  <si>
    <t>Plan-Eigenkapital</t>
  </si>
  <si>
    <t>Plan-EKR (%)</t>
  </si>
  <si>
    <t>Plan-Operativer Cashflow (MEUR)</t>
  </si>
  <si>
    <t>--- 4: TOPSIM FATAL CHECK ---</t>
  </si>
  <si>
    <t>Kassenbestand ENDE (Darf NIEMALS &lt; 0 sein!)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</si>
</sst>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45" customWidth="1"/>
    <col min="2" max="3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3">
      <c r="A2" t="s">
        <v>4</v>
      </c>
      <c r="B2">
        <v>28.05</v>
      </c>
      <c r="C2" t="s">
        <v>5</v>
      </c>
      <c r="D2" t="s">
        <v>6</v>
      </c>
    </row>
    <row r="3" spans="1:4" x14ac:dyDescent="0.3">
      <c r="A3" t="s">
        <v>7</v>
      </c>
      <c r="B3">
        <v>35.25</v>
      </c>
      <c r="C3" t="s">
        <v>5</v>
      </c>
      <c r="D3" t="s">
        <v>8</v>
      </c>
    </row>
    <row r="4" spans="1:4" x14ac:dyDescent="0.3">
      <c r="A4" t="s">
        <v>9</v>
      </c>
      <c r="B4">
        <v>5.27</v>
      </c>
      <c r="C4" t="s">
        <v>5</v>
      </c>
      <c r="D4" t="s">
        <v>10</v>
      </c>
    </row>
    <row r="5" spans="1:4" x14ac:dyDescent="0.3">
      <c r="A5" t="s">
        <v>11</v>
      </c>
      <c r="B5">
        <v>15.95</v>
      </c>
      <c r="C5" t="s">
        <v>5</v>
      </c>
      <c r="D5" t="s">
        <v>12</v>
      </c>
    </row>
    <row r="6" spans="1:4" x14ac:dyDescent="0.3">
      <c r="A6" t="s">
        <v>13</v>
      </c>
      <c r="B6">
        <v>0.3</v>
      </c>
      <c r="C6" t="s">
        <v>14</v>
      </c>
      <c r="D6" t="s">
        <v>15</v>
      </c>
    </row>
    <row r="7" spans="1:4" x14ac:dyDescent="0.3">
      <c r="A7" t="s">
        <v>16</v>
      </c>
      <c r="B7">
        <v>0.06</v>
      </c>
      <c r="C7" t="s">
        <v>14</v>
      </c>
      <c r="D7" t="s">
        <v>17</v>
      </c>
    </row>
    <row r="8" spans="1:4" x14ac:dyDescent="0.3">
      <c r="A8" t="s">
        <v>18</v>
      </c>
      <c r="B8">
        <v>0.08</v>
      </c>
      <c r="C8" t="s">
        <v>14</v>
      </c>
      <c r="D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45" customWidth="1"/>
    <col min="2" max="3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t="s">
        <v>20</v>
      </c>
    </row>
    <row r="2" spans="1:4" x14ac:dyDescent="0.3">
      <c r="A2" t="s">
        <v>21</v>
      </c>
      <c r="B2">
        <v>45000</v>
      </c>
      <c r="C2" t="s">
        <v>22</v>
      </c>
      <c r="D2" t="s">
        <v>23</v>
      </c>
    </row>
    <row r="3" spans="1:4" x14ac:dyDescent="0.3">
      <c r="A3" t="s">
        <v>24</v>
      </c>
      <c r="B3">
        <v>3000</v>
      </c>
      <c r="C3" t="s">
        <v>25</v>
      </c>
      <c r="D3" t="s">
        <v>23</v>
      </c>
    </row>
    <row r="4" spans="1:4" x14ac:dyDescent="0.3">
      <c r="A4" t="s">
        <v>26</v>
      </c>
    </row>
    <row r="5" spans="1:4" x14ac:dyDescent="0.3">
      <c r="A5" t="s">
        <v>27</v>
      </c>
      <c r="B5">
        <v>90</v>
      </c>
      <c r="C5" t="s">
        <v>5</v>
      </c>
      <c r="D5" t="s">
        <v>28</v>
      </c>
    </row>
    <row r="6" spans="1:4" x14ac:dyDescent="0.3">
      <c r="A6" t="s">
        <v>29</v>
      </c>
      <c r="B6">
        <v>10</v>
      </c>
      <c r="C6" t="s">
        <v>5</v>
      </c>
    </row>
    <row r="7" spans="1:4" x14ac:dyDescent="0.3">
      <c r="A7" t="s">
        <v>30</v>
      </c>
      <c r="B7">
        <v>15</v>
      </c>
      <c r="C7" t="s">
        <v>5</v>
      </c>
    </row>
    <row r="8" spans="1:4" x14ac:dyDescent="0.3">
      <c r="A8" t="s">
        <v>31</v>
      </c>
    </row>
    <row r="9" spans="1:4" x14ac:dyDescent="0.3">
      <c r="A9" t="s">
        <v>32</v>
      </c>
      <c r="B9">
        <v>6</v>
      </c>
      <c r="C9" t="s">
        <v>5</v>
      </c>
      <c r="D9" t="s">
        <v>33</v>
      </c>
    </row>
    <row r="10" spans="1:4" x14ac:dyDescent="0.3">
      <c r="A10" t="s">
        <v>34</v>
      </c>
      <c r="B10">
        <v>15</v>
      </c>
      <c r="C10" t="s">
        <v>5</v>
      </c>
      <c r="D10" t="s">
        <v>35</v>
      </c>
    </row>
    <row r="11" spans="1:4" x14ac:dyDescent="0.3">
      <c r="A11" t="s">
        <v>36</v>
      </c>
      <c r="B11">
        <v>1.5</v>
      </c>
      <c r="C11" t="s">
        <v>5</v>
      </c>
      <c r="D11" t="s">
        <v>37</v>
      </c>
    </row>
    <row r="12" spans="1:4" x14ac:dyDescent="0.3">
      <c r="A12" t="s">
        <v>38</v>
      </c>
      <c r="B12">
        <v>2</v>
      </c>
      <c r="C12" t="s">
        <v>5</v>
      </c>
      <c r="D12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45" customWidth="1"/>
    <col min="2" max="3" width="25" customWidth="1"/>
    <col min="4" max="4" width="13.44140625" customWidth="1"/>
  </cols>
  <sheetData>
    <row r="1" spans="1:4" x14ac:dyDescent="0.3">
      <c r="A1" s="1" t="s">
        <v>0</v>
      </c>
      <c r="B1" s="1" t="s">
        <v>40</v>
      </c>
      <c r="C1" s="1" t="s">
        <v>41</v>
      </c>
      <c r="D1" t="s">
        <v>42</v>
      </c>
    </row>
    <row r="2" spans="1:4" x14ac:dyDescent="0.3">
      <c r="A2" s="1" t="s">
        <v>43</v>
      </c>
    </row>
    <row r="3" spans="1:4" x14ac:dyDescent="0.3">
      <c r="A3" t="s">
        <v>44</v>
      </c>
      <c r="B3">
        <v>0</v>
      </c>
      <c r="C3">
        <v>15</v>
      </c>
      <c r="D3">
        <v>5</v>
      </c>
    </row>
    <row r="4" spans="1:4" x14ac:dyDescent="0.3">
      <c r="A4" t="s">
        <v>45</v>
      </c>
      <c r="B4">
        <v>0</v>
      </c>
      <c r="C4">
        <v>20</v>
      </c>
      <c r="D4">
        <v>10</v>
      </c>
    </row>
    <row r="5" spans="1:4" x14ac:dyDescent="0.3">
      <c r="A5" t="s">
        <v>46</v>
      </c>
      <c r="B5">
        <v>40</v>
      </c>
      <c r="C5">
        <v>0</v>
      </c>
      <c r="D5">
        <v>2</v>
      </c>
    </row>
    <row r="6" spans="1:4" x14ac:dyDescent="0.3">
      <c r="A6" t="s">
        <v>47</v>
      </c>
      <c r="B6">
        <v>0</v>
      </c>
      <c r="C6">
        <v>0</v>
      </c>
      <c r="D6">
        <v>0</v>
      </c>
    </row>
    <row r="7" spans="1:4" x14ac:dyDescent="0.3">
      <c r="A7" s="1" t="s">
        <v>48</v>
      </c>
    </row>
    <row r="8" spans="1:4" x14ac:dyDescent="0.3">
      <c r="A8" t="s">
        <v>49</v>
      </c>
      <c r="B8">
        <f>'2_Team_Inputs'!B2*'2_Team_Inputs'!B3/1000000</f>
        <v>135</v>
      </c>
      <c r="C8">
        <f>'2_Team_Inputs'!B2*'2_Team_Inputs'!B3/1000000</f>
        <v>135</v>
      </c>
      <c r="D8">
        <f>'2_Team_Inputs'!B2*'2_Team_Inputs'!B3/1000000</f>
        <v>135</v>
      </c>
    </row>
    <row r="9" spans="1:4" x14ac:dyDescent="0.3">
      <c r="A9" t="s">
        <v>50</v>
      </c>
      <c r="B9">
        <f>B8-'2_Team_Inputs'!B5-'2_Team_Inputs'!B6-'2_Team_Inputs'!B7-'2_Team_Inputs'!B9-'2_Team_Inputs'!B11</f>
        <v>12.5</v>
      </c>
      <c r="C9">
        <f>C8-'2_Team_Inputs'!B5-'2_Team_Inputs'!B6-'2_Team_Inputs'!B7-'2_Team_Inputs'!B9-'2_Team_Inputs'!B11</f>
        <v>12.5</v>
      </c>
      <c r="D9">
        <f>D8-'2_Team_Inputs'!B5-'2_Team_Inputs'!B6-'2_Team_Inputs'!B7-'2_Team_Inputs'!B9-'2_Team_Inputs'!B11</f>
        <v>12.5</v>
      </c>
    </row>
    <row r="10" spans="1:4" x14ac:dyDescent="0.3">
      <c r="A10" t="s">
        <v>51</v>
      </c>
      <c r="B10">
        <f>(B3*'1_Ist_Daten'!B8)+(B4*'1_Ist_Daten'!B7)</f>
        <v>0</v>
      </c>
      <c r="C10">
        <f>(C3*'1_Ist_Daten'!B8)+(C4*'1_Ist_Daten'!B7)</f>
        <v>2.4</v>
      </c>
      <c r="D10">
        <f>(D3*'1_Ist_Daten'!B8)+(D4*'1_Ist_Daten'!B7)</f>
        <v>1</v>
      </c>
    </row>
    <row r="11" spans="1:4" x14ac:dyDescent="0.3">
      <c r="A11" t="s">
        <v>52</v>
      </c>
      <c r="B11">
        <f>B9-B10</f>
        <v>12.5</v>
      </c>
      <c r="C11">
        <f>C9-C10</f>
        <v>10.1</v>
      </c>
      <c r="D11">
        <f>D9-D10</f>
        <v>11.5</v>
      </c>
    </row>
    <row r="12" spans="1:4" x14ac:dyDescent="0.3">
      <c r="A12" t="s">
        <v>53</v>
      </c>
      <c r="B12">
        <f>IF(B11&gt;0, B11*'1_Ist_Daten'!B6, 0)</f>
        <v>3.75</v>
      </c>
      <c r="C12">
        <f>IF(C11&gt;0, C11*'1_Ist_Daten'!B6, 0)</f>
        <v>3.03</v>
      </c>
      <c r="D12">
        <f>IF(D11&gt;0, D11*'1_Ist_Daten'!B6, 0)</f>
        <v>3.4499999999999997</v>
      </c>
    </row>
    <row r="13" spans="1:4" x14ac:dyDescent="0.3">
      <c r="A13" t="s">
        <v>54</v>
      </c>
      <c r="B13">
        <f>B11-B12</f>
        <v>8.75</v>
      </c>
      <c r="C13">
        <f>C11-C12</f>
        <v>7.07</v>
      </c>
      <c r="D13">
        <f>D11-D12</f>
        <v>8.0500000000000007</v>
      </c>
    </row>
    <row r="14" spans="1:4" x14ac:dyDescent="0.3">
      <c r="A14" s="1" t="s">
        <v>55</v>
      </c>
    </row>
    <row r="15" spans="1:4" x14ac:dyDescent="0.3">
      <c r="A15" t="s">
        <v>56</v>
      </c>
      <c r="B15">
        <f>'1_Ist_Daten'!B3+B13-B5</f>
        <v>4</v>
      </c>
      <c r="C15">
        <f>'1_Ist_Daten'!B3+C13-C5</f>
        <v>42.32</v>
      </c>
      <c r="D15">
        <f>'1_Ist_Daten'!B3+D13-D5</f>
        <v>41.3</v>
      </c>
    </row>
    <row r="16" spans="1:4" x14ac:dyDescent="0.3">
      <c r="A16" t="s">
        <v>57</v>
      </c>
      <c r="B16">
        <f>(B13/B15)*100</f>
        <v>218.75</v>
      </c>
      <c r="C16">
        <f>(C13/C15)*100</f>
        <v>16.706049149338376</v>
      </c>
      <c r="D16">
        <f>(D13/D15)*100</f>
        <v>19.491525423728817</v>
      </c>
    </row>
    <row r="17" spans="1:4" x14ac:dyDescent="0.3">
      <c r="A17" t="s">
        <v>58</v>
      </c>
      <c r="B17">
        <f>B13+'2_Team_Inputs'!B9+'2_Team_Inputs'!B11+'2_Team_Inputs'!B12</f>
        <v>18.25</v>
      </c>
      <c r="C17">
        <f>C13+'2_Team_Inputs'!B9+'2_Team_Inputs'!B11+'2_Team_Inputs'!B12</f>
        <v>16.57</v>
      </c>
      <c r="D17">
        <f>D13+'2_Team_Inputs'!B9+'2_Team_Inputs'!B11+'2_Team_Inputs'!B12</f>
        <v>17.55</v>
      </c>
    </row>
    <row r="18" spans="1:4" x14ac:dyDescent="0.3">
      <c r="A18" s="1" t="s">
        <v>59</v>
      </c>
    </row>
    <row r="19" spans="1:4" x14ac:dyDescent="0.3">
      <c r="A19" t="s">
        <v>60</v>
      </c>
      <c r="B19">
        <f>'1_Ist_Daten'!B2+B17+B3+B4-B5-'2_Team_Inputs'!B10-B6</f>
        <v>-8.7000000000000028</v>
      </c>
      <c r="C19">
        <f>'1_Ist_Daten'!B2+C17+C3+C4-C5-'2_Team_Inputs'!B10-C6</f>
        <v>64.62</v>
      </c>
      <c r="D19">
        <f>'1_Ist_Daten'!B2+D17+D3+D4-D5-'2_Team_Inputs'!B10-D6</f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1_Ist_Daten</vt:lpstr>
      <vt:lpstr>2_Team_Inputs</vt:lpstr>
      <vt:lpstr>3_Szenario_Rechner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Kempe</cp:lastModifiedBy>
  <dcterms:created xsi:type="dcterms:W3CDTF">2026-03-30T21:57:15Z</dcterms:created>
  <dcterms:modified xsi:type="dcterms:W3CDTF">2026-03-30T22:02:12Z</dcterms:modified>
</cp:coreProperties>
</file>